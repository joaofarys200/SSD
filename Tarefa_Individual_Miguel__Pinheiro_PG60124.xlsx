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uminho365-my.sharepoint.com/personal/pg60124_uminho_pt/Documents/Mestrado/2Semestre/SSD/SSD/Tarefa/"/>
    </mc:Choice>
  </mc:AlternateContent>
  <xr:revisionPtr revIDLastSave="215" documentId="13_ncr:1_{7D7168AC-F198-46A1-B2A4-E47041A78534}" xr6:coauthVersionLast="47" xr6:coauthVersionMax="47" xr10:uidLastSave="{6D1F7276-D57F-468E-8851-BB265933213F}"/>
  <bookViews>
    <workbookView xWindow="-120" yWindow="-120" windowWidth="29040" windowHeight="15840" tabRatio="741" xr2:uid="{00000000-000D-0000-FFFF-FFFF00000000}"/>
  </bookViews>
  <sheets>
    <sheet name="1.Processo de Simon" sheetId="20" r:id="rId1"/>
    <sheet name="NotasIniciais" sheetId="2" r:id="rId2"/>
    <sheet name="Calças" sheetId="19" r:id="rId3"/>
    <sheet name="C1" sheetId="3" r:id="rId4"/>
    <sheet name="Sensibilidade1" sheetId="14" state="hidden" r:id="rId5"/>
    <sheet name="C2" sheetId="11" r:id="rId6"/>
    <sheet name="Sensibilidade2" sheetId="15" state="hidden" r:id="rId7"/>
    <sheet name="C3" sheetId="8" r:id="rId8"/>
    <sheet name="Sensibilidade(C3)" sheetId="17" r:id="rId9"/>
    <sheet name="DecisorGrupo" sheetId="7" r:id="rId10"/>
  </sheets>
  <calcPr calcId="191028"/>
  <pivotCaches>
    <pivotCache cacheId="0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1" l="1"/>
  <c r="C10" i="7" s="1"/>
  <c r="B10" i="11"/>
  <c r="C9" i="7" s="1"/>
  <c r="B9" i="11"/>
  <c r="C8" i="7" s="1"/>
  <c r="B8" i="11"/>
  <c r="C7" i="7" s="1"/>
  <c r="B7" i="11"/>
  <c r="C6" i="7" s="1"/>
  <c r="B6" i="11"/>
  <c r="C5" i="7" s="1"/>
  <c r="B5" i="11"/>
  <c r="C4" i="7" s="1"/>
  <c r="B5" i="3"/>
  <c r="B4" i="7" s="1"/>
  <c r="B6" i="3"/>
  <c r="B5" i="7" s="1"/>
  <c r="B7" i="3"/>
  <c r="B6" i="7" s="1"/>
  <c r="B8" i="3"/>
  <c r="B7" i="7" s="1"/>
  <c r="B9" i="3"/>
  <c r="B8" i="7" s="1"/>
  <c r="B10" i="3"/>
  <c r="B9" i="7" s="1"/>
  <c r="B11" i="3"/>
  <c r="B10" i="7" s="1"/>
  <c r="B11" i="8"/>
  <c r="D10" i="7" s="1"/>
  <c r="B10" i="8"/>
  <c r="D9" i="7" s="1"/>
  <c r="B9" i="8"/>
  <c r="D8" i="7" s="1"/>
  <c r="B8" i="8"/>
  <c r="D7" i="7" s="1"/>
  <c r="B7" i="8"/>
  <c r="D6" i="7" s="1"/>
  <c r="B6" i="8"/>
  <c r="D5" i="7" s="1"/>
  <c r="B5" i="8"/>
  <c r="D4" i="7" s="1"/>
  <c r="E10" i="7" l="1"/>
  <c r="E9" i="7"/>
  <c r="E8" i="7"/>
  <c r="E7" i="7"/>
  <c r="E6" i="7"/>
  <c r="E5" i="7"/>
  <c r="E4" i="7"/>
</calcChain>
</file>

<file path=xl/sharedStrings.xml><?xml version="1.0" encoding="utf-8"?>
<sst xmlns="http://schemas.openxmlformats.org/spreadsheetml/2006/main" count="144" uniqueCount="64">
  <si>
    <t>SSD: Escolher uma peça de roupa</t>
  </si>
  <si>
    <t>Critérios:</t>
  </si>
  <si>
    <t>Preço</t>
  </si>
  <si>
    <t>Conforto</t>
  </si>
  <si>
    <t>Qualidade</t>
  </si>
  <si>
    <t>Estilo</t>
  </si>
  <si>
    <t>Versatilidade</t>
  </si>
  <si>
    <t>Funcionalidade</t>
  </si>
  <si>
    <t>Peso (%)</t>
  </si>
  <si>
    <t>Ganga Azul Escuro</t>
  </si>
  <si>
    <t>Ganga Azul Claro</t>
  </si>
  <si>
    <t>Ganga Preta</t>
  </si>
  <si>
    <t>Fato Preta</t>
  </si>
  <si>
    <t>Fato Cinzenta</t>
  </si>
  <si>
    <t>escalar o preço</t>
  </si>
  <si>
    <t>ao normalizar, a escala ficar invertida (valor maior, fica com numero menor de 1 a 10)</t>
  </si>
  <si>
    <t>polaridade?</t>
  </si>
  <si>
    <t>analise de sensibilidade - alterar pesos dos criterios e ver o impacto que tem na ordem das escolhas (se tiver que mudar muito as percentagens apra alterar a ordem, é pouco sensível a mudanças na ponderação - o que é o desejável)</t>
  </si>
  <si>
    <t>decisão em grupo: tem que usar os votos de cada um para chegar a decisão final --  multiplicar o score que cada decisor pelo numero de votos que ele tem e depois faz-se um quadro com a média de todos???</t>
  </si>
  <si>
    <t>Base</t>
  </si>
  <si>
    <t>Foco no Preço</t>
  </si>
  <si>
    <t>Foco no Conforto</t>
  </si>
  <si>
    <t>Foco na Qualidade</t>
  </si>
  <si>
    <t>Foco no Estilo</t>
  </si>
  <si>
    <t>Foco na Versatilidade</t>
  </si>
  <si>
    <t>Foco na Funcionalidade</t>
  </si>
  <si>
    <t>Row Labels</t>
  </si>
  <si>
    <t>$C$4:$H$4 by</t>
  </si>
  <si>
    <t>(All)</t>
  </si>
  <si>
    <t>G. Azul Escuro</t>
  </si>
  <si>
    <t>G. Azul Médio</t>
  </si>
  <si>
    <t>G. Azul Claro</t>
  </si>
  <si>
    <t>G. Preta</t>
  </si>
  <si>
    <t>F. Preta</t>
  </si>
  <si>
    <t>F. Beje</t>
  </si>
  <si>
    <t>F. Cinzenta</t>
  </si>
  <si>
    <t>Preco</t>
  </si>
  <si>
    <t>Fato Bege</t>
  </si>
  <si>
    <t>Tipo</t>
  </si>
  <si>
    <t>Link</t>
  </si>
  <si>
    <t>Referência</t>
  </si>
  <si>
    <t>SCORE</t>
  </si>
  <si>
    <t>PEÇA</t>
  </si>
  <si>
    <t>F. Bege</t>
  </si>
  <si>
    <t>Ganga Azul Médio</t>
  </si>
  <si>
    <t>Score C1</t>
  </si>
  <si>
    <t>Score C2</t>
  </si>
  <si>
    <t>Score C3</t>
  </si>
  <si>
    <t>Score Final</t>
  </si>
  <si>
    <t>SSD: Escolher uma peça de roupa (calças)</t>
  </si>
  <si>
    <t>https://www.zara.com/pt/pt/jeans-regular-fit-p04048440.html?v1=528209032</t>
  </si>
  <si>
    <t>https://www.zara.com/pt/pt/jeans-regular-fit-p04048440.html?v1=495707337</t>
  </si>
  <si>
    <t>https://www.zara.com/pt/pt/jeans-regular-fit-p04048440.html?v1=495707340</t>
  </si>
  <si>
    <t>https://www.zara.com/pt/pt/jeans-regular-fit-p04048440.html?v1=495707336</t>
  </si>
  <si>
    <t>https://www.zara.com/pt/pt/calcas-de-fato-conforto-p04457999.html?v1=503421862</t>
  </si>
  <si>
    <t>https://www.zara.com/pt/pt/calcas-de-fato-100-linho-p04410411.html?v1=504031158</t>
  </si>
  <si>
    <t>https://www.zara.com/pt/pt/calcas-de-fato-com-estrutura-p04569718.html?v1=513434036</t>
  </si>
  <si>
    <t>4569/718/811</t>
  </si>
  <si>
    <t>4048/440/822</t>
  </si>
  <si>
    <t>4048/440/406</t>
  </si>
  <si>
    <t>4048/440/427</t>
  </si>
  <si>
    <t>4048/440/407</t>
  </si>
  <si>
    <t>4457/999/800</t>
  </si>
  <si>
    <t>4410/411/052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</si>
</sst>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Bodoni MT"/>
      <family val="1"/>
    </font>
    <font>
      <b/>
      <sz val="11"/>
      <color theme="1"/>
      <name val="Bodoni MT"/>
      <family val="1"/>
    </font>
    <font>
      <sz val="9"/>
      <color theme="1"/>
      <name val="Bodoni MT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u/>
      <sz val="9"/>
      <color theme="10"/>
      <name val="Calibri"/>
      <family val="2"/>
      <scheme val="minor"/>
    </font>
    <font>
      <b/>
      <sz val="9"/>
      <color theme="1"/>
      <name val="Bodoni MT"/>
      <family val="1"/>
    </font>
    <font>
      <b/>
      <sz val="9"/>
      <color theme="1"/>
      <name val="Calibri"/>
      <family val="2"/>
      <scheme val="minor"/>
    </font>
    <font>
      <b/>
      <sz val="9"/>
      <color theme="1"/>
      <name val="Claibri"/>
    </font>
    <font>
      <sz val="9"/>
      <color theme="1"/>
      <name val="Claibri"/>
    </font>
    <font>
      <sz val="11"/>
      <color theme="1"/>
      <name val="Claibri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top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/>
    <xf numFmtId="0" fontId="6" fillId="0" borderId="0" xfId="0" applyFont="1" applyAlignment="1">
      <alignment horizontal="center" vertical="top"/>
    </xf>
    <xf numFmtId="0" fontId="8" fillId="0" borderId="0" xfId="1" applyFont="1"/>
    <xf numFmtId="0" fontId="1" fillId="0" borderId="0" xfId="0" applyFont="1"/>
    <xf numFmtId="0" fontId="9" fillId="0" borderId="0" xfId="1" applyFont="1"/>
    <xf numFmtId="0" fontId="10" fillId="0" borderId="0" xfId="0" applyFont="1" applyAlignment="1">
      <alignment horizontal="center" vertical="top"/>
    </xf>
    <xf numFmtId="0" fontId="5" fillId="0" borderId="0" xfId="0" applyFont="1"/>
    <xf numFmtId="0" fontId="11" fillId="0" borderId="0" xfId="0" applyFont="1" applyAlignment="1">
      <alignment horizontal="center" vertical="top"/>
    </xf>
    <xf numFmtId="0" fontId="13" fillId="0" borderId="0" xfId="0" applyFont="1"/>
    <xf numFmtId="0" fontId="14" fillId="0" borderId="0" xfId="0" applyFont="1"/>
    <xf numFmtId="0" fontId="12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  <xf numFmtId="0" fontId="0" fillId="5" borderId="0" xfId="0" applyFill="1"/>
    <xf numFmtId="0" fontId="1" fillId="0" borderId="0" xfId="0" applyFont="1" applyAlignment="1">
      <alignment horizontal="center" vertical="top"/>
    </xf>
    <xf numFmtId="0" fontId="11" fillId="4" borderId="1" xfId="0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top"/>
    </xf>
    <xf numFmtId="0" fontId="1" fillId="0" borderId="0" xfId="0" pivotButton="1" applyFont="1"/>
    <xf numFmtId="0" fontId="1" fillId="5" borderId="0" xfId="0" applyFont="1" applyFill="1"/>
    <xf numFmtId="0" fontId="1" fillId="7" borderId="0" xfId="0" applyFont="1" applyFill="1"/>
    <xf numFmtId="0" fontId="1" fillId="3" borderId="0" xfId="0" applyFont="1" applyFill="1"/>
    <xf numFmtId="0" fontId="1" fillId="0" borderId="0" xfId="0" applyFont="1" applyAlignment="1">
      <alignment horizontal="left" wrapText="1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</cellXfs>
  <cellStyles count="2">
    <cellStyle name="Hiperligação" xfId="1" builtinId="8"/>
    <cellStyle name="Normal" xfId="0" builtinId="0"/>
  </cellStyles>
  <dxfs count="36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0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Ponderação Final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'C1'!$A$5:$A$11</c:f>
              <c:strCache>
                <c:ptCount val="7"/>
                <c:pt idx="0">
                  <c:v>Ganga Azul Escuro</c:v>
                </c:pt>
                <c:pt idx="1">
                  <c:v>Ganga Azul Médio</c:v>
                </c:pt>
                <c:pt idx="2">
                  <c:v>Ganga Azul Claro</c:v>
                </c:pt>
                <c:pt idx="3">
                  <c:v>Ganga Preta</c:v>
                </c:pt>
                <c:pt idx="4">
                  <c:v>Fato Preta</c:v>
                </c:pt>
                <c:pt idx="5">
                  <c:v>Fato Bege</c:v>
                </c:pt>
                <c:pt idx="6">
                  <c:v>Fato Cinzenta</c:v>
                </c:pt>
              </c:strCache>
            </c:strRef>
          </c:cat>
          <c:val>
            <c:numRef>
              <c:f>'C1'!$B$5:$B$11</c:f>
              <c:numCache>
                <c:formatCode>General</c:formatCode>
                <c:ptCount val="7"/>
                <c:pt idx="0">
                  <c:v>7.0499999999999989</c:v>
                </c:pt>
                <c:pt idx="1">
                  <c:v>7.9999999999999991</c:v>
                </c:pt>
                <c:pt idx="2">
                  <c:v>7.4499999999999993</c:v>
                </c:pt>
                <c:pt idx="3">
                  <c:v>7.75</c:v>
                </c:pt>
                <c:pt idx="4">
                  <c:v>7.85</c:v>
                </c:pt>
                <c:pt idx="5">
                  <c:v>7.1999999999999993</c:v>
                </c:pt>
                <c:pt idx="6">
                  <c:v>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D-4372-ABCC-655BED40369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91973024"/>
        <c:axId val="1291975424"/>
      </c:barChart>
      <c:catAx>
        <c:axId val="12919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1975424"/>
        <c:crosses val="autoZero"/>
        <c:auto val="1"/>
        <c:lblAlgn val="ctr"/>
        <c:lblOffset val="100"/>
        <c:noMultiLvlLbl val="0"/>
      </c:catAx>
      <c:valAx>
        <c:axId val="12919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197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114300</xdr:rowOff>
    </xdr:from>
    <xdr:to>
      <xdr:col>16</xdr:col>
      <xdr:colOff>9525</xdr:colOff>
      <xdr:row>26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B791C79-E3F1-4E09-ACEE-BA635BCD35F8}"/>
            </a:ext>
          </a:extLst>
        </xdr:cNvPr>
        <xdr:cNvSpPr txBox="1"/>
      </xdr:nvSpPr>
      <xdr:spPr>
        <a:xfrm>
          <a:off x="9525" y="114300"/>
          <a:ext cx="9753600" cy="5019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400" b="1" u="sng"/>
            <a:t>Enquadramento - Processo de Decisão de Simon</a:t>
          </a:r>
        </a:p>
        <a:p>
          <a:endParaRPr lang="pt-PT" b="1"/>
        </a:p>
        <a:p>
          <a:r>
            <a:rPr lang="pt-PT" sz="1200" b="1"/>
            <a:t>1. Fase de Inteligência (Identificação do Problema)</a:t>
          </a:r>
          <a:endParaRPr lang="pt-PT" sz="1200"/>
        </a:p>
        <a:p>
          <a:r>
            <a:rPr lang="pt-PT" b="1"/>
            <a:t>Contexto:</a:t>
          </a:r>
          <a:r>
            <a:rPr lang="pt-PT"/>
            <a:t> O problema abordado (Problema 12) consiste na necessidade de escolher uma peça de roupa (calças) que se adeque tanto ao contexto académico como ao lazer.</a:t>
          </a:r>
        </a:p>
        <a:p>
          <a:r>
            <a:rPr lang="pt-PT" b="1"/>
            <a:t>Recolha de Dados:</a:t>
          </a:r>
          <a:r>
            <a:rPr lang="pt-PT"/>
            <a:t> Foi feito um levantamento de alternativas no mercado (Zara), resultando na pré-seleção de 7 opções viáveis (detalhadas na folha 'Calças', com os respetivos links e referências, divididas entre gangas e calças de fato).</a:t>
          </a:r>
        </a:p>
        <a:p>
          <a:endParaRPr lang="pt-PT"/>
        </a:p>
        <a:p>
          <a:r>
            <a:rPr lang="pt-PT" sz="1200" b="1"/>
            <a:t>2. Fase de Conceção (Desenho do Modelo Matemático)</a:t>
          </a:r>
          <a:endParaRPr lang="pt-PT" sz="1200"/>
        </a:p>
        <a:p>
          <a:r>
            <a:rPr lang="pt-PT" b="1"/>
            <a:t>Estruturação:</a:t>
          </a:r>
          <a:r>
            <a:rPr lang="pt-PT"/>
            <a:t> Para avaliar as alternativas, o problema foi estruturado num modelo multicritério. Foram definidos 6 critérios de avaliação: Preço, Conforto, Qualidade, Estilo, Versatilidade e Funcionalidade.</a:t>
          </a:r>
        </a:p>
        <a:p>
          <a:r>
            <a:rPr lang="pt-PT" b="1"/>
            <a:t>Múltiplas Perspetivas:</a:t>
          </a:r>
          <a:r>
            <a:rPr lang="pt-PT"/>
            <a:t> O modelo não assume um decisor único. Foram desenhados três perfis com ponderações (pesos) diferentes (visíveis nas folhas 'C1', 'C2' e 'C3').</a:t>
          </a:r>
        </a:p>
        <a:p>
          <a:r>
            <a:rPr lang="pt-PT" b="1"/>
            <a:t>Normalização:</a:t>
          </a:r>
          <a:r>
            <a:rPr lang="pt-PT"/>
            <a:t> A escala de avaliação (1 a 10) foi ajustada. No caso do critério "Preço", a escala foi invertida para garantir a correta polaridade (menor preço = maior pontuação).</a:t>
          </a:r>
        </a:p>
        <a:p>
          <a:endParaRPr lang="pt-PT"/>
        </a:p>
        <a:p>
          <a:r>
            <a:rPr lang="pt-PT" sz="1200" b="1"/>
            <a:t>3. Fase de Escolha (Avaliação e Decisão)</a:t>
          </a:r>
          <a:endParaRPr lang="pt-PT" sz="1200"/>
        </a:p>
        <a:p>
          <a:r>
            <a:rPr lang="pt-PT" b="1"/>
            <a:t>Cálculo:</a:t>
          </a:r>
          <a:r>
            <a:rPr lang="pt-PT"/>
            <a:t> O modelo calcula um score ponderado para cada alternativa por decisor.</a:t>
          </a:r>
        </a:p>
        <a:p>
          <a:r>
            <a:rPr lang="pt-PT" b="1"/>
            <a:t>Decisão em Grupo:</a:t>
          </a:r>
          <a:r>
            <a:rPr lang="pt-PT"/>
            <a:t> Na folha 'DecisorGrupo', os resultados individuais são agregados para apurar a alternativa com o melhor score final conjunto.</a:t>
          </a:r>
        </a:p>
        <a:p>
          <a:r>
            <a:rPr lang="pt-PT" b="1"/>
            <a:t>Análise de Sensibilidade:</a:t>
          </a:r>
          <a:r>
            <a:rPr lang="pt-PT"/>
            <a:t> Para validar a robustez da escolha matemática, foram criados cenários (folhas 'Sensibilidade1', 'Sensibilidade2', 'Sensibilidade(C3)') que testam alterações nos pesos dos critérios (ex: foco exclusivo no conforto ou no preço), comprovando se a decisão final se mantém sólida face a mudanças de contexto.</a:t>
          </a:r>
        </a:p>
        <a:p>
          <a:endParaRPr lang="pt-PT"/>
        </a:p>
        <a:p>
          <a:r>
            <a:rPr lang="pt-PT" sz="1200" b="1"/>
            <a:t>4. Fase de Implementação (Ação)</a:t>
          </a:r>
          <a:endParaRPr lang="pt-PT" sz="1200"/>
        </a:p>
        <a:p>
          <a:r>
            <a:rPr lang="pt-PT" b="1"/>
            <a:t>Conclusão:</a:t>
          </a:r>
          <a:r>
            <a:rPr lang="pt-PT"/>
            <a:t> Com base no modelo de suporte à decisão, a alternativa vencedora (Ganga Azul Médio) provou ser a escolha mais equilibrada. A implementação traduz-se na aquisição física ou online desta referência específica, com a posterior validação prática (monitorização) do seu conforto e versatilidade no uso diário.</a:t>
          </a:r>
        </a:p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656</xdr:colOff>
      <xdr:row>2</xdr:row>
      <xdr:rowOff>2292</xdr:rowOff>
    </xdr:from>
    <xdr:to>
      <xdr:col>15</xdr:col>
      <xdr:colOff>11141</xdr:colOff>
      <xdr:row>11</xdr:row>
      <xdr:rowOff>11795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2E44488-CBEB-6A7A-E45C-4660CB142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ia Outeiro" refreshedDate="45729.770971412036" createdVersion="8" refreshedVersion="8" minRefreshableVersion="3" recordCount="7" xr:uid="{BBA91B65-A6D8-4C7A-B39A-0FB4C779AD60}">
  <cacheSource type="scenario"/>
  <cacheFields count="9">
    <cacheField name="$C$4:$H$4" numFmtId="0">
      <sharedItems containsNonDate="0" count="7">
        <s v="Foco no Preço"/>
        <s v="Foco no Conforto"/>
        <s v="Foco na Qualidade"/>
        <s v="Foco no Estilo"/>
        <s v="Foco na Versatilidade"/>
        <s v="Foco na Funcionalidade"/>
        <s v="Base"/>
      </sharedItems>
    </cacheField>
    <cacheField name="$C$4:$H$4 by" numFmtId="0">
      <sharedItems containsNonDate="0" count="1">
        <s v="Maria Outeiro"/>
      </sharedItems>
    </cacheField>
    <cacheField name="res $B$6" numFmtId="0">
      <sharedItems containsSemiMixedTypes="0" containsNonDate="0" containsString="0" containsNumber="1" minValue="6" maxValue="7.2000000000000011" count="5">
        <n v="7.2000000000000011"/>
        <n v="6.8000000000000007"/>
        <n v="6.4"/>
        <n v="6"/>
        <n v="6.9499999999999993"/>
      </sharedItems>
    </cacheField>
    <cacheField name="res $B$7" numFmtId="0">
      <sharedItems containsSemiMixedTypes="0" containsNonDate="0" containsString="0" containsNumber="1" minValue="6.5" maxValue="8.1000000000000014" count="6">
        <n v="7.7000000000000011"/>
        <n v="7.3000000000000007"/>
        <n v="8.1000000000000014"/>
        <n v="8.1"/>
        <n v="6.5"/>
        <n v="7.8999999999999995"/>
      </sharedItems>
    </cacheField>
    <cacheField name="res $B$8" numFmtId="0">
      <sharedItems containsSemiMixedTypes="0" containsNonDate="0" containsString="0" containsNumber="1" minValue="6.2" maxValue="7.4" count="4">
        <n v="7.4"/>
        <n v="7"/>
        <n v="6.2"/>
        <n v="7.35"/>
      </sharedItems>
    </cacheField>
    <cacheField name="res $B$9" numFmtId="0">
      <sharedItems containsSemiMixedTypes="0" containsNonDate="0" containsString="0" containsNumber="1" minValue="6.3999999999999995" maxValue="7.65" count="4">
        <n v="7.6"/>
        <n v="7.1999999999999993"/>
        <n v="6.3999999999999995"/>
        <n v="7.65"/>
      </sharedItems>
    </cacheField>
    <cacheField name="res $B$10" numFmtId="0">
      <sharedItems containsSemiMixedTypes="0" containsNonDate="0" containsString="0" containsNumber="1" minValue="7.5" maxValue="8.3000000000000007" count="6">
        <n v="7.5000000000000009"/>
        <n v="7.9000000000000012"/>
        <n v="8.3000000000000007"/>
        <n v="8.2999999999999989"/>
        <n v="7.5"/>
        <n v="7.7999999999999989"/>
      </sharedItems>
    </cacheField>
    <cacheField name="res $B$11" numFmtId="0">
      <sharedItems containsSemiMixedTypes="0" containsNonDate="0" containsString="0" containsNumber="1" minValue="6.7" maxValue="7.9" count="7">
        <n v="7.1000000000000014"/>
        <n v="7.5000000000000018"/>
        <n v="7.9"/>
        <n v="6.7000000000000011"/>
        <n v="7.1"/>
        <n v="6.7"/>
        <n v="7.1999999999999993"/>
      </sharedItems>
    </cacheField>
    <cacheField name="res $B$12" numFmtId="0">
      <sharedItems containsSemiMixedTypes="0" containsNonDate="0" containsString="0" containsNumber="1" minValue="6.6" maxValue="7.7999999999999989" count="5">
        <n v="7"/>
        <n v="7.4"/>
        <n v="7.7999999999999989"/>
        <n v="6.6"/>
        <n v="7.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ia Outeiro" refreshedDate="45729.776807754628" createdVersion="8" refreshedVersion="8" minRefreshableVersion="3" recordCount="7" xr:uid="{E7F9B52B-75F5-4192-8D1A-A5A38553E9D4}">
  <cacheSource type="scenario"/>
  <cacheFields count="9">
    <cacheField name="$C$4:$H$4" numFmtId="0">
      <sharedItems containsNonDate="0" count="7">
        <s v="Preço"/>
        <s v="Conforto"/>
        <s v="Qualidade"/>
        <s v="Base"/>
        <s v="Estilo"/>
        <s v="Versatilidade"/>
        <s v="Funcionalidade"/>
      </sharedItems>
    </cacheField>
    <cacheField name="$C$4:$H$4 by" numFmtId="0">
      <sharedItems containsNonDate="0" count="1">
        <s v="Maria Outeiro"/>
      </sharedItems>
    </cacheField>
    <cacheField name="res $B$6" numFmtId="0">
      <sharedItems containsSemiMixedTypes="0" containsNonDate="0" containsString="0" containsNumber="1" minValue="6.5" maxValue="8.1000000000000014" count="5">
        <n v="7.7"/>
        <n v="7.3"/>
        <n v="7.95"/>
        <n v="8.1000000000000014"/>
        <n v="6.5"/>
      </sharedItems>
    </cacheField>
    <cacheField name="res $B$7" numFmtId="0">
      <sharedItems containsSemiMixedTypes="0" containsNonDate="0" containsString="0" containsNumber="1" minValue="6.5000000000000009" maxValue="8.1000000000000014" count="6">
        <n v="7.7"/>
        <n v="7.3"/>
        <n v="7.85"/>
        <n v="7.7000000000000011"/>
        <n v="8.1000000000000014"/>
        <n v="6.5000000000000009"/>
      </sharedItems>
    </cacheField>
    <cacheField name="res $B$8" numFmtId="0">
      <sharedItems containsSemiMixedTypes="0" containsNonDate="0" containsString="0" containsNumber="1" minValue="6.2000000000000011" maxValue="7.4" count="5">
        <n v="7.4"/>
        <n v="7"/>
        <n v="7.3"/>
        <n v="7.0000000000000009"/>
        <n v="6.2000000000000011"/>
      </sharedItems>
    </cacheField>
    <cacheField name="res $B$9" numFmtId="0">
      <sharedItems containsSemiMixedTypes="0" containsNonDate="0" containsString="0" containsNumber="1" minValue="6.5" maxValue="8.1000000000000014" count="5">
        <n v="7.7"/>
        <n v="7.3"/>
        <n v="7.95"/>
        <n v="8.1000000000000014"/>
        <n v="6.5"/>
      </sharedItems>
    </cacheField>
    <cacheField name="res $B$10" numFmtId="0">
      <sharedItems containsSemiMixedTypes="0" containsNonDate="0" containsString="0" containsNumber="1" minValue="7.6000000000000005" maxValue="8.4" count="4">
        <n v="7.6000000000000014"/>
        <n v="8.4"/>
        <n v="7.9999999999999991"/>
        <n v="7.6000000000000005"/>
      </sharedItems>
    </cacheField>
    <cacheField name="res $B$11" numFmtId="0">
      <sharedItems containsSemiMixedTypes="0" containsNonDate="0" containsString="0" containsNumber="1" minValue="6.8" maxValue="8" count="5">
        <n v="7.2"/>
        <n v="8"/>
        <n v="7.9999999999999991"/>
        <n v="7.2999999999999989"/>
        <n v="6.8"/>
      </sharedItems>
    </cacheField>
    <cacheField name="res $B$12" numFmtId="0">
      <sharedItems containsSemiMixedTypes="0" containsNonDate="0" containsString="0" containsNumber="1" minValue="7.4" maxValue="8.2000000000000011" count="5">
        <n v="7.4000000000000012"/>
        <n v="8.2000000000000011"/>
        <n v="8.1999999999999993"/>
        <n v="7.6999999999999993"/>
        <n v="7.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ia Outeiro" refreshedDate="45729.781854166664" createdVersion="8" refreshedVersion="8" minRefreshableVersion="3" recordCount="7" xr:uid="{47ED2E57-BF8C-4E4F-80D1-2CF8DB603237}">
  <cacheSource type="scenario"/>
  <cacheFields count="9">
    <cacheField name="$C$4:$H$4" numFmtId="0">
      <sharedItems containsNonDate="0" count="7">
        <s v="Base"/>
        <s v="Preco"/>
        <s v="Conforto"/>
        <s v="Qualidade"/>
        <s v="Estilo"/>
        <s v="Versatilidade"/>
        <s v="Funcionalidade"/>
      </sharedItems>
    </cacheField>
    <cacheField name="$C$4:$H$4 by" numFmtId="0">
      <sharedItems containsNonDate="0" count="1">
        <s v="Maria Outeiro"/>
      </sharedItems>
    </cacheField>
    <cacheField name="res $B$6" numFmtId="0">
      <sharedItems containsSemiMixedTypes="0" containsNonDate="0" containsString="0" containsNumber="1" minValue="6.7000000000000011" maxValue="7.5" count="4">
        <n v="7.45"/>
        <n v="7.5"/>
        <n v="7.1"/>
        <n v="6.7000000000000011"/>
      </sharedItems>
    </cacheField>
    <cacheField name="res $B$7" numFmtId="0">
      <sharedItems containsSemiMixedTypes="0" containsNonDate="0" containsString="0" containsNumber="1" minValue="7.6000000000000005" maxValue="8.4" count="4">
        <n v="8.25"/>
        <n v="8"/>
        <n v="8.4"/>
        <n v="7.6000000000000005"/>
      </sharedItems>
    </cacheField>
    <cacheField name="res $B$8" numFmtId="0">
      <sharedItems containsSemiMixedTypes="0" containsNonDate="0" containsString="0" containsNumber="1" minValue="7.6000000000000005" maxValue="8.4" count="4">
        <n v="8.25"/>
        <n v="8"/>
        <n v="8.4"/>
        <n v="7.6000000000000005"/>
      </sharedItems>
    </cacheField>
    <cacheField name="res $B$9" numFmtId="0">
      <sharedItems containsSemiMixedTypes="0" containsNonDate="0" containsString="0" containsNumber="1" minValue="6.5" maxValue="7.2999999999999989" count="4">
        <n v="6.95"/>
        <n v="7.2999999999999989"/>
        <n v="6.8999999999999986"/>
        <n v="6.5"/>
      </sharedItems>
    </cacheField>
    <cacheField name="res $B$10" numFmtId="0">
      <sharedItems containsSemiMixedTypes="0" containsNonDate="0" containsString="0" containsNumber="1" minValue="7.5000000000000009" maxValue="8.7000000000000011" count="4">
        <n v="7.7"/>
        <n v="7.5000000000000009"/>
        <n v="8.7000000000000011"/>
        <n v="8.3000000000000007"/>
      </sharedItems>
    </cacheField>
    <cacheField name="res $B$11" numFmtId="0">
      <sharedItems containsSemiMixedTypes="0" containsNonDate="0" containsString="0" containsNumber="1" minValue="7.9000000000000012" maxValue="9.1000000000000014" count="5">
        <n v="8.5"/>
        <n v="7.9000000000000012"/>
        <n v="9.1000000000000014"/>
        <n v="8.7000000000000011"/>
        <n v="8.6999999999999993"/>
      </sharedItems>
    </cacheField>
    <cacheField name="res $B$12" numFmtId="0">
      <sharedItems containsSemiMixedTypes="0" containsNonDate="0" containsString="0" containsNumber="1" minValue="7.8000000000000007" maxValue="9" count="6">
        <n v="8.25"/>
        <n v="7.8000000000000007"/>
        <n v="9"/>
        <n v="8.2000000000000011"/>
        <n v="8.6"/>
        <n v="8.60000000000000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D7C02-2B4A-47B6-AB93-307D5008731A}" name="PivotTable1" cacheId="0" applyNumberFormats="0" applyBorderFormats="0" applyFontFormats="0" applyPatternFormats="0" applyAlignmentFormats="0" applyWidthHeightFormats="1" dataCaption="Result Cells" updatedVersion="8" minRefreshableVersion="3" useAutoFormatting="1" rowGrandTotals="0" colGrandTotals="0" itemPrintTitles="1" createdVersion="8" indent="0" outline="1" outlineData="1" multipleFieldFilters="0" fieldListSortAscending="1">
  <location ref="A3:H10" firstHeaderRow="0" firstDataRow="1" firstDataCol="1" rowPageCount="1" colPageCount="1"/>
  <pivotFields count="9">
    <pivotField axis="axisRow" showAll="0" defaultSubtotal="0">
      <items count="7">
        <item x="6"/>
        <item x="5"/>
        <item x="2"/>
        <item x="4"/>
        <item x="1"/>
        <item x="3"/>
        <item x="0"/>
      </items>
    </pivotField>
    <pivotField axis="axisPage" showAll="0">
      <items count="2"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" hier="-1"/>
  </pageFields>
  <dataFields count="7">
    <dataField name="G. Azul Escuro" fld="2" baseField="0" baseItem="0"/>
    <dataField name="G. Azul Médio" fld="3" baseField="0" baseItem="0"/>
    <dataField name="G. Azul Claro" fld="4" baseField="0" baseItem="0"/>
    <dataField name="G. Preta" fld="5" baseField="0" baseItem="0"/>
    <dataField name="F. Preta" fld="6" baseField="0" baseItem="0"/>
    <dataField name="F. Beje" fld="7" baseField="0" baseItem="0"/>
    <dataField name="F. Cinzenta" fld="8" baseField="0" baseItem="0"/>
  </dataFields>
  <formats count="7">
    <format dxfId="35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4"/>
          </reference>
          <reference field="0" count="1">
            <x v="1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4"/>
          </reference>
          <reference field="0" count="1">
            <x v="2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4"/>
          </reference>
          <reference field="0" count="1">
            <x v="3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4"/>
          </reference>
          <reference field="0" count="1">
            <x v="4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1"/>
          </reference>
          <reference field="0" count="1">
            <x v="5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9F3B4-55D3-465D-9981-E3C16B007DF7}" name="PivotTable2" cacheId="1" applyNumberFormats="0" applyBorderFormats="0" applyFontFormats="0" applyPatternFormats="0" applyAlignmentFormats="0" applyWidthHeightFormats="1" dataCaption="Result Cells" updatedVersion="8" minRefreshableVersion="3" useAutoFormatting="1" rowGrandTotals="0" colGrandTotals="0" itemPrintTitles="1" createdVersion="8" indent="0" outline="1" outlineData="1" multipleFieldFilters="0" fieldListSortAscending="1">
  <location ref="A3:H10" firstHeaderRow="0" firstDataRow="1" firstDataCol="1" rowPageCount="1" colPageCount="1"/>
  <pivotFields count="9">
    <pivotField axis="axisRow" showAll="0" defaultSubtotal="0">
      <items count="7">
        <item x="3"/>
        <item x="1"/>
        <item x="4"/>
        <item x="6"/>
        <item x="0"/>
        <item x="2"/>
        <item x="5"/>
      </items>
    </pivotField>
    <pivotField axis="axisPage" showAll="0">
      <items count="2"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" hier="-1"/>
  </pageFields>
  <dataFields count="7">
    <dataField name="G. Azul Escuro" fld="2" baseField="0" baseItem="0"/>
    <dataField name="G. Azul Médio" fld="3" baseField="0" baseItem="0"/>
    <dataField name="G. Azul Claro" fld="4" baseField="0" baseItem="0"/>
    <dataField name="G. Preta" fld="5" baseField="0" baseItem="0"/>
    <dataField name="F. Preta" fld="6" baseField="0" baseItem="0"/>
    <dataField name="F. Beje" fld="8" baseField="0" baseItem="0"/>
    <dataField name="F. Cinzenta" fld="7" baseField="0" baseItem="0"/>
  </dataFields>
  <formats count="10">
    <format dxfId="28">
      <pivotArea collapsedLevelsAreSubtotals="1" fieldPosition="0">
        <references count="2">
          <reference field="4294967294" count="1" selected="0">
            <x v="4"/>
          </reference>
          <reference field="0" count="1">
            <x v="0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4"/>
          </reference>
          <reference field="0" count="1">
            <x v="1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3"/>
          </reference>
          <reference field="0" count="1">
            <x v="2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4"/>
          </reference>
          <reference field="0" count="1">
            <x v="3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0" count="1">
            <x v="4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1"/>
          </reference>
          <reference field="0" count="1">
            <x v="4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3"/>
          </reference>
          <reference field="0" count="1">
            <x v="4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4"/>
          </reference>
          <reference field="0" count="2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7C68D-64D3-4AD3-B647-27ADFFDB86FC}" name="PivotTable3" cacheId="2" applyNumberFormats="0" applyBorderFormats="0" applyFontFormats="0" applyPatternFormats="0" applyAlignmentFormats="0" applyWidthHeightFormats="1" dataCaption="Result Cells" updatedVersion="8" minRefreshableVersion="3" useAutoFormatting="1" rowGrandTotals="0" colGrandTotals="0" itemPrintTitles="1" createdVersion="8" indent="0" outline="1" outlineData="1" multipleFieldFilters="0" fieldListSortAscending="1">
  <location ref="A3:H10" firstHeaderRow="0" firstDataRow="1" firstDataCol="1" rowPageCount="1" colPageCount="1"/>
  <pivotFields count="9">
    <pivotField axis="axisRow" showAll="0" defaultSubtotal="0">
      <items count="7">
        <item x="0"/>
        <item x="2"/>
        <item x="4"/>
        <item x="6"/>
        <item x="1"/>
        <item x="3"/>
        <item x="5"/>
      </items>
    </pivotField>
    <pivotField axis="axisPage" showAll="0">
      <items count="2"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" hier="-1"/>
  </pageFields>
  <dataFields count="7">
    <dataField name="G. Azul Escuro" fld="2" baseField="0" baseItem="0"/>
    <dataField name="G. Azul Médio" fld="3" baseField="0" baseItem="0"/>
    <dataField name="G. Azul Claro" fld="4" baseField="0" baseItem="0"/>
    <dataField name="G. Preta" fld="5" baseField="0" baseItem="0"/>
    <dataField name="F. Preta" fld="6" baseField="0" baseItem="0"/>
    <dataField name="F. Bege" fld="7" baseField="0" baseItem="0"/>
    <dataField name="F. Cinzenta" fld="8" baseField="0" baseItem="0"/>
  </dataFields>
  <formats count="15">
    <format dxfId="18">
      <pivotArea collapsedLevelsAreSubtotals="1" fieldPosition="0">
        <references count="2">
          <reference field="4294967294" count="1" selected="0">
            <x v="5"/>
          </reference>
          <reference field="0" count="1">
            <x v="0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5"/>
          </reference>
          <reference field="0" count="1"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5"/>
          </reference>
          <reference field="0" count="1">
            <x v="2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5"/>
          </reference>
          <reference field="0" count="1">
            <x v="3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5"/>
          </reference>
          <reference field="0" count="1">
            <x v="4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5"/>
          </reference>
          <reference field="0" count="1">
            <x v="5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5"/>
          </reference>
          <reference field="0" count="1">
            <x v="6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5"/>
          </reference>
          <reference field="0" count="1">
            <x v="4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0" count="1">
            <x v="4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2"/>
          </reference>
          <reference field="0" count="1">
            <x v="4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ara.com/pt/pt/jeans-regular-fit-p04048440.html?v1=495707336" TargetMode="External"/><Relationship Id="rId7" Type="http://schemas.openxmlformats.org/officeDocument/2006/relationships/hyperlink" Target="https://www.zara.com/pt/pt/jeans-regular-fit-p04048440.html?v1=495707337" TargetMode="External"/><Relationship Id="rId2" Type="http://schemas.openxmlformats.org/officeDocument/2006/relationships/hyperlink" Target="https://www.zara.com/pt/pt/jeans-regular-fit-p04048440.html?v1=528209032" TargetMode="External"/><Relationship Id="rId1" Type="http://schemas.openxmlformats.org/officeDocument/2006/relationships/hyperlink" Target="https://www.zara.com/pt/pt/jeans-regular-fit-p04048440.html?v1=495707340" TargetMode="External"/><Relationship Id="rId6" Type="http://schemas.openxmlformats.org/officeDocument/2006/relationships/hyperlink" Target="https://www.zara.com/pt/pt/calcas-de-fato-com-estrutura-p04569718.html?v1=513434036" TargetMode="External"/><Relationship Id="rId5" Type="http://schemas.openxmlformats.org/officeDocument/2006/relationships/hyperlink" Target="https://www.zara.com/pt/pt/calcas-de-fato-100-linho-p04410411.html?v1=504031158" TargetMode="External"/><Relationship Id="rId4" Type="http://schemas.openxmlformats.org/officeDocument/2006/relationships/hyperlink" Target="https://www.zara.com/pt/pt/calcas-de-fato-conforto-p04457999.html?v1=50342186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AB9D-EEC0-4CB5-8182-F5C57ACAE1D6}">
  <sheetPr>
    <tabColor theme="2" tint="-0.249977111117893"/>
  </sheetPr>
  <dimension ref="A1"/>
  <sheetViews>
    <sheetView tabSelected="1" workbookViewId="0">
      <selection activeCell="E29" sqref="E2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AA1A-F3A3-492C-8070-64B241701422}">
  <sheetPr>
    <tabColor theme="9"/>
  </sheetPr>
  <dimension ref="A1:A5"/>
  <sheetViews>
    <sheetView workbookViewId="0">
      <selection activeCell="B8" sqref="B8"/>
    </sheetView>
  </sheetViews>
  <sheetFormatPr defaultRowHeight="15"/>
  <cols>
    <col min="1" max="1" width="34.5703125" customWidth="1"/>
  </cols>
  <sheetData>
    <row r="1" spans="1:1">
      <c r="A1" t="s">
        <v>14</v>
      </c>
    </row>
    <row r="2" spans="1:1" ht="45">
      <c r="A2" s="1" t="s">
        <v>15</v>
      </c>
    </row>
    <row r="3" spans="1:1">
      <c r="A3" t="s">
        <v>16</v>
      </c>
    </row>
    <row r="4" spans="1:1" ht="105">
      <c r="A4" s="1" t="s">
        <v>17</v>
      </c>
    </row>
    <row r="5" spans="1:1" ht="90">
      <c r="A5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DE2C-8F38-4F1C-B0F6-FC7CE64CF8B1}">
  <sheetPr>
    <tabColor theme="5"/>
  </sheetPr>
  <dimension ref="A2:C9"/>
  <sheetViews>
    <sheetView workbookViewId="0">
      <selection activeCell="A11" sqref="A11"/>
    </sheetView>
  </sheetViews>
  <sheetFormatPr defaultRowHeight="15"/>
  <cols>
    <col min="1" max="1" width="17.7109375" bestFit="1" customWidth="1"/>
    <col min="2" max="2" width="85.7109375" bestFit="1" customWidth="1"/>
    <col min="3" max="3" width="10.28515625" bestFit="1" customWidth="1"/>
  </cols>
  <sheetData>
    <row r="2" spans="1:3">
      <c r="A2" s="14" t="s">
        <v>38</v>
      </c>
      <c r="B2" s="19" t="s">
        <v>39</v>
      </c>
      <c r="C2" s="19" t="s">
        <v>40</v>
      </c>
    </row>
    <row r="3" spans="1:3">
      <c r="A3" s="26" t="s">
        <v>9</v>
      </c>
      <c r="B3" s="3" t="s">
        <v>52</v>
      </c>
      <c r="C3" s="10" t="s">
        <v>61</v>
      </c>
    </row>
    <row r="4" spans="1:3">
      <c r="A4" s="26" t="s">
        <v>44</v>
      </c>
      <c r="B4" s="3" t="s">
        <v>51</v>
      </c>
      <c r="C4" s="10" t="s">
        <v>60</v>
      </c>
    </row>
    <row r="5" spans="1:3">
      <c r="A5" s="26" t="s">
        <v>10</v>
      </c>
      <c r="B5" s="3" t="s">
        <v>50</v>
      </c>
      <c r="C5" s="10" t="s">
        <v>59</v>
      </c>
    </row>
    <row r="6" spans="1:3">
      <c r="A6" s="26" t="s">
        <v>11</v>
      </c>
      <c r="B6" s="3" t="s">
        <v>53</v>
      </c>
      <c r="C6" s="10" t="s">
        <v>58</v>
      </c>
    </row>
    <row r="7" spans="1:3">
      <c r="A7" s="26" t="s">
        <v>12</v>
      </c>
      <c r="B7" s="3" t="s">
        <v>54</v>
      </c>
      <c r="C7" s="10" t="s">
        <v>62</v>
      </c>
    </row>
    <row r="8" spans="1:3">
      <c r="A8" s="26" t="s">
        <v>37</v>
      </c>
      <c r="B8" s="3" t="s">
        <v>55</v>
      </c>
      <c r="C8" s="10" t="s">
        <v>63</v>
      </c>
    </row>
    <row r="9" spans="1:3">
      <c r="A9" s="26" t="s">
        <v>13</v>
      </c>
      <c r="B9" s="3" t="s">
        <v>56</v>
      </c>
      <c r="C9" s="10" t="s">
        <v>57</v>
      </c>
    </row>
  </sheetData>
  <hyperlinks>
    <hyperlink ref="B3" r:id="rId1" xr:uid="{E6EFDD44-6A34-4BEF-AABE-CBD110699E41}"/>
    <hyperlink ref="B5" r:id="rId2" xr:uid="{8DA50A95-8ACB-4183-8B98-B7A85D5345A5}"/>
    <hyperlink ref="B6" r:id="rId3" xr:uid="{54A89BAA-5023-4405-8F0F-BB8869A7F4FD}"/>
    <hyperlink ref="B7" r:id="rId4" xr:uid="{C07E007F-C83A-46DD-848E-BD5EE30BAE46}"/>
    <hyperlink ref="B8" r:id="rId5" xr:uid="{50027888-9FCF-4A65-9CFC-F8EC2F7F8B2D}"/>
    <hyperlink ref="B9" r:id="rId6" xr:uid="{9A1C95DC-600F-4F61-8433-26859ACCF6F6}"/>
    <hyperlink ref="B4" r:id="rId7" xr:uid="{C79BBC10-D13F-4F94-AD55-D327C2513CD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8D07-BDC6-45AB-AF01-B5EFE9FDDF7A}">
  <sheetPr>
    <tabColor theme="4"/>
  </sheetPr>
  <dimension ref="A1:K12"/>
  <sheetViews>
    <sheetView zoomScale="110" zoomScaleNormal="110" workbookViewId="0">
      <selection activeCell="I18" sqref="I18"/>
    </sheetView>
  </sheetViews>
  <sheetFormatPr defaultRowHeight="15"/>
  <cols>
    <col min="1" max="1" width="17.7109375" bestFit="1" customWidth="1"/>
    <col min="2" max="2" width="5.42578125" bestFit="1" customWidth="1"/>
    <col min="3" max="3" width="4.7109375" bestFit="1" customWidth="1"/>
    <col min="4" max="4" width="7" bestFit="1" customWidth="1"/>
    <col min="5" max="5" width="7.85546875" bestFit="1" customWidth="1"/>
    <col min="6" max="6" width="4.5703125" bestFit="1" customWidth="1"/>
    <col min="7" max="7" width="9.85546875" bestFit="1" customWidth="1"/>
    <col min="8" max="8" width="11.42578125" bestFit="1" customWidth="1"/>
    <col min="9" max="9" width="8.140625" bestFit="1" customWidth="1"/>
    <col min="10" max="10" width="8" customWidth="1"/>
    <col min="11" max="11" width="10.42578125" bestFit="1" customWidth="1"/>
    <col min="12" max="12" width="9.5703125" customWidth="1"/>
    <col min="13" max="13" width="6.85546875" customWidth="1"/>
    <col min="14" max="14" width="9.5703125" customWidth="1"/>
  </cols>
  <sheetData>
    <row r="1" spans="1:11">
      <c r="A1" s="42" t="s">
        <v>49</v>
      </c>
      <c r="B1" s="42"/>
      <c r="C1" s="42"/>
      <c r="D1" s="42"/>
      <c r="E1" s="42"/>
      <c r="F1" s="42"/>
      <c r="G1" s="42"/>
      <c r="H1" s="42"/>
      <c r="I1" s="10"/>
      <c r="J1" s="10"/>
      <c r="K1" s="10"/>
    </row>
    <row r="2" spans="1:11">
      <c r="A2" s="43"/>
      <c r="B2" s="43"/>
      <c r="C2" s="43"/>
      <c r="D2" s="43"/>
      <c r="E2" s="43"/>
      <c r="F2" s="43"/>
      <c r="G2" s="43"/>
      <c r="H2" s="43"/>
      <c r="I2" s="10"/>
      <c r="J2" s="10"/>
      <c r="K2" s="10"/>
    </row>
    <row r="3" spans="1:11">
      <c r="A3" s="27" t="s">
        <v>1</v>
      </c>
      <c r="B3" s="40" t="s">
        <v>41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7" t="s">
        <v>7</v>
      </c>
      <c r="I3" s="14"/>
      <c r="J3" s="10"/>
      <c r="K3" s="10"/>
    </row>
    <row r="4" spans="1:11">
      <c r="A4" s="27" t="s">
        <v>8</v>
      </c>
      <c r="B4" s="41"/>
      <c r="C4" s="28">
        <v>0.2</v>
      </c>
      <c r="D4" s="28">
        <v>0.2</v>
      </c>
      <c r="E4" s="28">
        <v>0.15</v>
      </c>
      <c r="F4" s="28">
        <v>0.25</v>
      </c>
      <c r="G4" s="28">
        <v>0.15</v>
      </c>
      <c r="H4" s="28">
        <v>0.05</v>
      </c>
      <c r="I4" s="14"/>
      <c r="J4" s="10"/>
      <c r="K4" s="10"/>
    </row>
    <row r="5" spans="1:11">
      <c r="A5" s="29" t="s">
        <v>9</v>
      </c>
      <c r="B5" s="30">
        <f>SUM(C5*C4+D5*D4+E5*E4+F5*F4+G5*G4+H5*H4)</f>
        <v>7.0499999999999989</v>
      </c>
      <c r="C5" s="30">
        <v>8</v>
      </c>
      <c r="D5" s="30">
        <v>7</v>
      </c>
      <c r="E5" s="30">
        <v>7</v>
      </c>
      <c r="F5" s="30">
        <v>7</v>
      </c>
      <c r="G5" s="30">
        <v>6</v>
      </c>
      <c r="H5" s="30">
        <v>7</v>
      </c>
    </row>
    <row r="6" spans="1:11">
      <c r="A6" s="29" t="s">
        <v>44</v>
      </c>
      <c r="B6" s="30">
        <f>SUM(C6*C4+D6*D4+E6*E4+F6*F4+G6*G4+H6*H4)</f>
        <v>7.9999999999999991</v>
      </c>
      <c r="C6" s="30">
        <v>8</v>
      </c>
      <c r="D6" s="30">
        <v>7</v>
      </c>
      <c r="E6" s="30">
        <v>7</v>
      </c>
      <c r="F6" s="30">
        <v>9</v>
      </c>
      <c r="G6" s="30">
        <v>9</v>
      </c>
      <c r="H6" s="30">
        <v>7</v>
      </c>
    </row>
    <row r="7" spans="1:11">
      <c r="A7" s="29" t="s">
        <v>10</v>
      </c>
      <c r="B7" s="30">
        <f>SUM(C7*C4+D7*D4+E7*E4+F7*F4+G7*G4+H7*H4)</f>
        <v>7.4499999999999993</v>
      </c>
      <c r="C7" s="30">
        <v>8</v>
      </c>
      <c r="D7" s="30">
        <v>7</v>
      </c>
      <c r="E7" s="30">
        <v>7</v>
      </c>
      <c r="F7" s="30">
        <v>8</v>
      </c>
      <c r="G7" s="30">
        <v>7</v>
      </c>
      <c r="H7" s="30">
        <v>7</v>
      </c>
    </row>
    <row r="8" spans="1:11">
      <c r="A8" s="29" t="s">
        <v>11</v>
      </c>
      <c r="B8" s="30">
        <f>SUM(C8*C4+D8*D4+E8*E4+F8*F4+G8*G4+H8*H4)</f>
        <v>7.75</v>
      </c>
      <c r="C8" s="30">
        <v>8</v>
      </c>
      <c r="D8" s="30">
        <v>7</v>
      </c>
      <c r="E8" s="30">
        <v>8</v>
      </c>
      <c r="F8" s="30">
        <v>8</v>
      </c>
      <c r="G8" s="30">
        <v>8</v>
      </c>
      <c r="H8" s="30">
        <v>7</v>
      </c>
    </row>
    <row r="9" spans="1:11">
      <c r="A9" s="29" t="s">
        <v>12</v>
      </c>
      <c r="B9" s="30">
        <f>SUM(C9*C4+D9*D4+E9*E4+F9*F4+G9*G4+H9*H4)</f>
        <v>7.85</v>
      </c>
      <c r="C9" s="30">
        <v>7</v>
      </c>
      <c r="D9" s="30">
        <v>8</v>
      </c>
      <c r="E9" s="30">
        <v>9</v>
      </c>
      <c r="F9" s="30">
        <v>7</v>
      </c>
      <c r="G9" s="30">
        <v>9</v>
      </c>
      <c r="H9" s="30">
        <v>8</v>
      </c>
    </row>
    <row r="10" spans="1:11">
      <c r="A10" s="29" t="s">
        <v>37</v>
      </c>
      <c r="B10" s="30">
        <f>SUM(C10*C4+D10*D4+E10*E4+F10*F4+G10*G4+H10*H4)</f>
        <v>7.1999999999999993</v>
      </c>
      <c r="C10" s="30">
        <v>7</v>
      </c>
      <c r="D10" s="30">
        <v>8</v>
      </c>
      <c r="E10" s="30">
        <v>9</v>
      </c>
      <c r="F10" s="30">
        <v>6</v>
      </c>
      <c r="G10" s="30">
        <v>7</v>
      </c>
      <c r="H10" s="30">
        <v>6</v>
      </c>
    </row>
    <row r="11" spans="1:11">
      <c r="A11" s="29" t="s">
        <v>13</v>
      </c>
      <c r="B11" s="30">
        <f>SUM(C11*C4+D11*D4+E11*E4+F11*F4+G11*G4+H11*H4)</f>
        <v>7.05</v>
      </c>
      <c r="C11" s="30">
        <v>7</v>
      </c>
      <c r="D11" s="30">
        <v>8</v>
      </c>
      <c r="E11" s="30">
        <v>9</v>
      </c>
      <c r="F11" s="30">
        <v>6</v>
      </c>
      <c r="G11" s="30">
        <v>6</v>
      </c>
      <c r="H11" s="30">
        <v>6</v>
      </c>
    </row>
    <row r="12" spans="1:11">
      <c r="A12" s="14"/>
      <c r="B12" s="14"/>
      <c r="C12" s="2"/>
      <c r="D12" s="2"/>
      <c r="E12" s="2"/>
      <c r="F12" s="2"/>
      <c r="G12" s="14"/>
      <c r="H12" s="14"/>
      <c r="I12" s="14"/>
      <c r="J12" s="10"/>
      <c r="K12" s="10"/>
    </row>
  </sheetData>
  <scenarios current="5" show="5">
    <scenario name="Foco no Preço" locked="1" count="6" user="Maria Outeiro" comment="Created by Maria Outeiro on 13/03/2025_x000a_Modified by Maria Outeiro on 13/03/2025">
      <inputCells r="C4" val="0.5" numFmtId="9"/>
      <inputCells r="D4" val="0.1" numFmtId="9"/>
      <inputCells r="E4" val="0.1" numFmtId="9"/>
      <inputCells r="F4" val="0.1" numFmtId="9"/>
      <inputCells r="G4" val="0.1" numFmtId="9"/>
      <inputCells r="H4" val="0.1" numFmtId="9"/>
    </scenario>
    <scenario name="Foco no Conforto" locked="1" count="6" user="Maria Outeiro" comment="Created by Maria Outeiro on 13/03/2025_x000a_Modified by Maria Outeiro on 13/03/2025">
      <inputCells r="C4" val="0.1" numFmtId="9"/>
      <inputCells r="D4" val="0.5" numFmtId="9"/>
      <inputCells r="E4" val="0.1" numFmtId="9"/>
      <inputCells r="F4" val="0.1" numFmtId="9"/>
      <inputCells r="G4" val="0.1" numFmtId="9"/>
      <inputCells r="H4" val="0.1" numFmtId="9"/>
    </scenario>
    <scenario name="Foco na Qualidade" locked="1" count="6" user="Maria Outeiro" comment="Created by Maria Outeiro on 13/03/2025_x000a_Modified by Maria Outeiro on 13/03/2025">
      <inputCells r="C4" val="0.1" numFmtId="9"/>
      <inputCells r="D4" val="0.1" numFmtId="9"/>
      <inputCells r="E4" val="0.5" numFmtId="9"/>
      <inputCells r="F4" val="0.1" numFmtId="9"/>
      <inputCells r="G4" val="0.1" numFmtId="9"/>
      <inputCells r="H4" val="0.1" numFmtId="9"/>
    </scenario>
    <scenario name="Foco no Estilo" locked="1" count="6" user="Maria Outeiro" comment="Created by Maria Outeiro on 13/03/2025_x000a_Modified by Maria Outeiro on 13/03/2025">
      <inputCells r="C4" val="0.1" numFmtId="9"/>
      <inputCells r="D4" val="0.1" numFmtId="9"/>
      <inputCells r="E4" val="0.1" numFmtId="9"/>
      <inputCells r="F4" val="0.5" numFmtId="9"/>
      <inputCells r="G4" val="0.1" numFmtId="9"/>
      <inputCells r="H4" val="0.1" numFmtId="9"/>
    </scenario>
    <scenario name="Foco na Versatilidade" locked="1" count="6" user="Maria Outeiro" comment="Created by Maria Outeiro on 13/03/2025">
      <inputCells r="C4" val="0.1" numFmtId="9"/>
      <inputCells r="D4" val="0.1" numFmtId="9"/>
      <inputCells r="E4" val="0.1" numFmtId="9"/>
      <inputCells r="F4" val="0.1" numFmtId="9"/>
      <inputCells r="G4" val="0.5" numFmtId="9"/>
      <inputCells r="H4" val="0.1" numFmtId="9"/>
    </scenario>
    <scenario name="Foco na Funcionalidade" locked="1" count="6" user="Maria Outeiro" comment="Created by Maria Outeiro on 13/03/2025">
      <inputCells r="C4" val="0.1" numFmtId="9"/>
      <inputCells r="D4" val="0.1" numFmtId="9"/>
      <inputCells r="E4" val="0.1" numFmtId="9"/>
      <inputCells r="F4" val="0.1" numFmtId="9"/>
      <inputCells r="G4" val="0.1" numFmtId="9"/>
      <inputCells r="H4" val="0.6" numFmtId="9"/>
    </scenario>
  </scenarios>
  <mergeCells count="2">
    <mergeCell ref="B3:B4"/>
    <mergeCell ref="A1:H2"/>
  </mergeCells>
  <conditionalFormatting sqref="B5:B11">
    <cfRule type="expression" dxfId="3" priority="1">
      <formula>B5=MAX($B$5:$B$11)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726C-1085-4428-8265-FE50B6EB60C9}">
  <dimension ref="A1:H10"/>
  <sheetViews>
    <sheetView workbookViewId="0">
      <selection activeCell="C11" sqref="C11"/>
    </sheetView>
  </sheetViews>
  <sheetFormatPr defaultRowHeight="15"/>
  <cols>
    <col min="1" max="1" width="20.5703125" bestFit="1" customWidth="1"/>
    <col min="2" max="2" width="12.5703125" bestFit="1" customWidth="1"/>
    <col min="3" max="3" width="12.42578125" bestFit="1" customWidth="1"/>
    <col min="4" max="4" width="11.42578125" bestFit="1" customWidth="1"/>
    <col min="5" max="5" width="7.5703125" bestFit="1" customWidth="1"/>
    <col min="6" max="6" width="7.28515625" bestFit="1" customWidth="1"/>
    <col min="7" max="7" width="6.42578125" bestFit="1" customWidth="1"/>
    <col min="8" max="8" width="10" bestFit="1" customWidth="1"/>
  </cols>
  <sheetData>
    <row r="1" spans="1:8">
      <c r="A1" s="22" t="s">
        <v>27</v>
      </c>
      <c r="B1" t="s">
        <v>28</v>
      </c>
    </row>
    <row r="3" spans="1:8">
      <c r="A3" s="22" t="s">
        <v>26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</row>
    <row r="4" spans="1:8">
      <c r="A4" s="23" t="s">
        <v>19</v>
      </c>
      <c r="B4">
        <v>6.9499999999999993</v>
      </c>
      <c r="C4" s="24">
        <v>7.8999999999999995</v>
      </c>
      <c r="D4">
        <v>7.35</v>
      </c>
      <c r="E4">
        <v>7.65</v>
      </c>
      <c r="F4">
        <v>7.7999999999999989</v>
      </c>
      <c r="G4">
        <v>7.1999999999999993</v>
      </c>
      <c r="H4">
        <v>7.05</v>
      </c>
    </row>
    <row r="5" spans="1:8">
      <c r="A5" s="23" t="s">
        <v>25</v>
      </c>
      <c r="B5">
        <v>6</v>
      </c>
      <c r="C5">
        <v>6.5</v>
      </c>
      <c r="D5">
        <v>6.2</v>
      </c>
      <c r="E5">
        <v>6.3999999999999995</v>
      </c>
      <c r="F5" s="24">
        <v>7.5</v>
      </c>
      <c r="G5">
        <v>6.7</v>
      </c>
      <c r="H5">
        <v>6.6</v>
      </c>
    </row>
    <row r="6" spans="1:8">
      <c r="A6" s="23" t="s">
        <v>22</v>
      </c>
      <c r="B6">
        <v>6.8000000000000007</v>
      </c>
      <c r="C6">
        <v>7.3000000000000007</v>
      </c>
      <c r="D6">
        <v>7</v>
      </c>
      <c r="E6">
        <v>7.6</v>
      </c>
      <c r="F6" s="24">
        <v>8.3000000000000007</v>
      </c>
      <c r="G6">
        <v>7.9</v>
      </c>
      <c r="H6">
        <v>7.7999999999999989</v>
      </c>
    </row>
    <row r="7" spans="1:8">
      <c r="A7" s="23" t="s">
        <v>24</v>
      </c>
      <c r="B7">
        <v>6.4</v>
      </c>
      <c r="C7">
        <v>8.1</v>
      </c>
      <c r="D7">
        <v>7</v>
      </c>
      <c r="E7">
        <v>7.6</v>
      </c>
      <c r="F7" s="24">
        <v>8.2999999999999989</v>
      </c>
      <c r="G7">
        <v>7.1</v>
      </c>
      <c r="H7">
        <v>6.6</v>
      </c>
    </row>
    <row r="8" spans="1:8">
      <c r="A8" s="23" t="s">
        <v>21</v>
      </c>
      <c r="B8">
        <v>6.8000000000000007</v>
      </c>
      <c r="C8">
        <v>7.3000000000000007</v>
      </c>
      <c r="D8">
        <v>7</v>
      </c>
      <c r="E8">
        <v>7.1999999999999993</v>
      </c>
      <c r="F8" s="24">
        <v>7.9000000000000012</v>
      </c>
      <c r="G8">
        <v>7.5000000000000018</v>
      </c>
      <c r="H8">
        <v>7.4</v>
      </c>
    </row>
    <row r="9" spans="1:8">
      <c r="A9" s="23" t="s">
        <v>23</v>
      </c>
      <c r="B9">
        <v>6.8000000000000007</v>
      </c>
      <c r="C9" s="24">
        <v>8.1000000000000014</v>
      </c>
      <c r="D9">
        <v>7.4</v>
      </c>
      <c r="E9">
        <v>7.6</v>
      </c>
      <c r="F9">
        <v>7.5000000000000009</v>
      </c>
      <c r="G9">
        <v>6.7000000000000011</v>
      </c>
      <c r="H9">
        <v>6.6</v>
      </c>
    </row>
    <row r="10" spans="1:8">
      <c r="A10" s="23" t="s">
        <v>20</v>
      </c>
      <c r="B10">
        <v>7.2000000000000011</v>
      </c>
      <c r="C10" s="24">
        <v>7.7000000000000011</v>
      </c>
      <c r="D10">
        <v>7.4</v>
      </c>
      <c r="E10">
        <v>7.6</v>
      </c>
      <c r="F10">
        <v>7.5000000000000009</v>
      </c>
      <c r="G10">
        <v>7.1000000000000014</v>
      </c>
      <c r="H10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6AB9-D5BF-42B6-8490-DE4EA042BF29}">
  <sheetPr>
    <tabColor theme="4"/>
  </sheetPr>
  <dimension ref="A1:K12"/>
  <sheetViews>
    <sheetView zoomScale="110" zoomScaleNormal="110" workbookViewId="0">
      <selection activeCell="A3" sqref="A3"/>
    </sheetView>
  </sheetViews>
  <sheetFormatPr defaultRowHeight="15"/>
  <cols>
    <col min="1" max="1" width="17.7109375" bestFit="1" customWidth="1"/>
    <col min="2" max="2" width="5.42578125" bestFit="1" customWidth="1"/>
    <col min="3" max="3" width="4.7109375" bestFit="1" customWidth="1"/>
    <col min="4" max="4" width="7" bestFit="1" customWidth="1"/>
    <col min="5" max="5" width="7.85546875" bestFit="1" customWidth="1"/>
    <col min="6" max="6" width="4.5703125" bestFit="1" customWidth="1"/>
    <col min="7" max="7" width="9.85546875" bestFit="1" customWidth="1"/>
    <col min="8" max="8" width="11.42578125" bestFit="1" customWidth="1"/>
    <col min="9" max="9" width="8.140625" bestFit="1" customWidth="1"/>
    <col min="10" max="10" width="9" customWidth="1"/>
    <col min="11" max="11" width="10.42578125" bestFit="1" customWidth="1"/>
    <col min="12" max="12" width="11.140625" customWidth="1"/>
    <col min="13" max="13" width="9.5703125" customWidth="1"/>
    <col min="14" max="14" width="14.85546875" customWidth="1"/>
  </cols>
  <sheetData>
    <row r="1" spans="1:11">
      <c r="A1" s="42" t="s">
        <v>49</v>
      </c>
      <c r="B1" s="42"/>
      <c r="C1" s="42"/>
      <c r="D1" s="42"/>
      <c r="E1" s="42"/>
      <c r="F1" s="42"/>
      <c r="G1" s="42"/>
      <c r="H1" s="42"/>
      <c r="I1" s="10"/>
      <c r="J1" s="10"/>
      <c r="K1" s="10"/>
    </row>
    <row r="2" spans="1:11">
      <c r="A2" s="43"/>
      <c r="B2" s="43"/>
      <c r="C2" s="43"/>
      <c r="D2" s="43"/>
      <c r="E2" s="43"/>
      <c r="F2" s="43"/>
      <c r="G2" s="43"/>
      <c r="H2" s="43"/>
      <c r="I2" s="10"/>
      <c r="J2" s="10"/>
      <c r="K2" s="10"/>
    </row>
    <row r="3" spans="1:11">
      <c r="A3" s="27" t="s">
        <v>1</v>
      </c>
      <c r="B3" s="40" t="s">
        <v>41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7" t="s">
        <v>7</v>
      </c>
      <c r="I3" s="14"/>
      <c r="J3" s="10"/>
      <c r="K3" s="10"/>
    </row>
    <row r="4" spans="1:11">
      <c r="A4" s="27" t="s">
        <v>8</v>
      </c>
      <c r="B4" s="41"/>
      <c r="C4" s="28">
        <v>0.2</v>
      </c>
      <c r="D4" s="28">
        <v>0.2</v>
      </c>
      <c r="E4" s="28">
        <v>0.15</v>
      </c>
      <c r="F4" s="28">
        <v>0.25</v>
      </c>
      <c r="G4" s="28">
        <v>0.15</v>
      </c>
      <c r="H4" s="28">
        <v>0.05</v>
      </c>
      <c r="I4" s="14"/>
      <c r="J4" s="10"/>
      <c r="K4" s="10"/>
    </row>
    <row r="5" spans="1:11">
      <c r="A5" s="29" t="s">
        <v>9</v>
      </c>
      <c r="B5" s="30">
        <f>SUM(C5*C4+D5*D4+E5*E4+F5*F4+G5*G4+H5*H4)</f>
        <v>7.95</v>
      </c>
      <c r="C5" s="30">
        <v>8</v>
      </c>
      <c r="D5" s="30">
        <v>8</v>
      </c>
      <c r="E5" s="30">
        <v>7</v>
      </c>
      <c r="F5" s="30">
        <v>9</v>
      </c>
      <c r="G5" s="30">
        <v>8</v>
      </c>
      <c r="H5" s="30">
        <v>5</v>
      </c>
      <c r="I5" s="14"/>
      <c r="J5" s="11"/>
      <c r="K5" s="10"/>
    </row>
    <row r="6" spans="1:11">
      <c r="A6" s="29" t="s">
        <v>44</v>
      </c>
      <c r="B6" s="30">
        <f>SUM(C6*C4+D6*D4+E6*E4+F6*F4+G6*G4+H6*H4)</f>
        <v>7.85</v>
      </c>
      <c r="C6" s="30">
        <v>8</v>
      </c>
      <c r="D6" s="30">
        <v>8</v>
      </c>
      <c r="E6" s="30">
        <v>7</v>
      </c>
      <c r="F6" s="30">
        <v>8</v>
      </c>
      <c r="G6" s="30">
        <v>9</v>
      </c>
      <c r="H6" s="30">
        <v>5</v>
      </c>
      <c r="I6" s="14"/>
      <c r="J6" s="11"/>
      <c r="K6" s="10"/>
    </row>
    <row r="7" spans="1:11">
      <c r="A7" s="29" t="s">
        <v>10</v>
      </c>
      <c r="B7" s="30">
        <f>SUM(C7*C4+D7*D4+E7*E4+F7*F4+G7*G4+H7*H4)</f>
        <v>7.3</v>
      </c>
      <c r="C7" s="30">
        <v>8</v>
      </c>
      <c r="D7" s="30">
        <v>8</v>
      </c>
      <c r="E7" s="30">
        <v>7</v>
      </c>
      <c r="F7" s="30">
        <v>7</v>
      </c>
      <c r="G7" s="30">
        <v>7</v>
      </c>
      <c r="H7" s="30">
        <v>5</v>
      </c>
      <c r="I7" s="14"/>
      <c r="J7" s="11"/>
      <c r="K7" s="10"/>
    </row>
    <row r="8" spans="1:11">
      <c r="A8" s="29" t="s">
        <v>11</v>
      </c>
      <c r="B8" s="30">
        <f>SUM(C8*C4+D8*D4+E8*E4+F8*F4+G8*G4+H8*H4)</f>
        <v>7.95</v>
      </c>
      <c r="C8" s="30">
        <v>8</v>
      </c>
      <c r="D8" s="30">
        <v>8</v>
      </c>
      <c r="E8" s="30">
        <v>7</v>
      </c>
      <c r="F8" s="30">
        <v>9</v>
      </c>
      <c r="G8" s="30">
        <v>8</v>
      </c>
      <c r="H8" s="30">
        <v>5</v>
      </c>
      <c r="I8" s="14"/>
      <c r="J8" s="11"/>
      <c r="K8" s="10"/>
    </row>
    <row r="9" spans="1:11">
      <c r="A9" s="29" t="s">
        <v>12</v>
      </c>
      <c r="B9" s="30">
        <f>SUM(C9*C4+D9*D4+E9*E4+F9*F4+G9*G4+H9*H4)</f>
        <v>7.9999999999999991</v>
      </c>
      <c r="C9" s="30">
        <v>7</v>
      </c>
      <c r="D9" s="30">
        <v>9</v>
      </c>
      <c r="E9" s="30">
        <v>9</v>
      </c>
      <c r="F9" s="30">
        <v>7</v>
      </c>
      <c r="G9" s="30">
        <v>9</v>
      </c>
      <c r="H9" s="30">
        <v>7</v>
      </c>
      <c r="I9" s="14"/>
      <c r="J9" s="11"/>
      <c r="K9" s="10"/>
    </row>
    <row r="10" spans="1:11">
      <c r="A10" s="29" t="s">
        <v>37</v>
      </c>
      <c r="B10" s="30">
        <f>SUM(C10*C4+D10*D4+E10*E4+F10*F4+G10*G4+H10*H4)</f>
        <v>7.2999999999999989</v>
      </c>
      <c r="C10" s="30">
        <v>7</v>
      </c>
      <c r="D10" s="30">
        <v>9</v>
      </c>
      <c r="E10" s="30">
        <v>9</v>
      </c>
      <c r="F10" s="30">
        <v>6</v>
      </c>
      <c r="G10" s="30">
        <v>6</v>
      </c>
      <c r="H10" s="30">
        <v>7</v>
      </c>
      <c r="I10" s="14"/>
      <c r="J10" s="11"/>
      <c r="K10" s="10"/>
    </row>
    <row r="11" spans="1:11">
      <c r="A11" s="29" t="s">
        <v>13</v>
      </c>
      <c r="B11" s="30">
        <f>SUM(C11*C4+D11*D4+E11*E4+F11*F4+G11*G4+H11*H4)</f>
        <v>7.6999999999999993</v>
      </c>
      <c r="C11" s="30">
        <v>7</v>
      </c>
      <c r="D11" s="30">
        <v>9</v>
      </c>
      <c r="E11" s="30">
        <v>9</v>
      </c>
      <c r="F11" s="30">
        <v>7</v>
      </c>
      <c r="G11" s="30">
        <v>7</v>
      </c>
      <c r="H11" s="30">
        <v>7</v>
      </c>
      <c r="I11" s="14"/>
      <c r="J11" s="11"/>
      <c r="K11" s="10"/>
    </row>
    <row r="12" spans="1:11">
      <c r="A12" s="5"/>
      <c r="B12" s="5"/>
      <c r="C12" s="6"/>
      <c r="D12" s="6"/>
      <c r="E12" s="6"/>
      <c r="F12" s="6"/>
      <c r="G12" s="5"/>
      <c r="H12" s="5"/>
      <c r="I12" s="5"/>
      <c r="J12" s="4"/>
    </row>
  </sheetData>
  <mergeCells count="2">
    <mergeCell ref="B3:B4"/>
    <mergeCell ref="A1:H2"/>
  </mergeCells>
  <conditionalFormatting sqref="B5:B11">
    <cfRule type="expression" dxfId="2" priority="1">
      <formula>B5=MAX($B$5:$B$11)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961B-1D12-4725-B99B-213483D06E9D}">
  <dimension ref="A1:H10"/>
  <sheetViews>
    <sheetView workbookViewId="0">
      <selection activeCell="B3" sqref="B3"/>
    </sheetView>
  </sheetViews>
  <sheetFormatPr defaultRowHeight="15"/>
  <cols>
    <col min="1" max="1" width="13.5703125" bestFit="1" customWidth="1"/>
    <col min="2" max="2" width="12.5703125" bestFit="1" customWidth="1"/>
    <col min="3" max="3" width="12.42578125" bestFit="1" customWidth="1"/>
    <col min="4" max="4" width="11.42578125" bestFit="1" customWidth="1"/>
    <col min="5" max="5" width="7.5703125" bestFit="1" customWidth="1"/>
    <col min="6" max="6" width="7.28515625" bestFit="1" customWidth="1"/>
    <col min="7" max="7" width="6.42578125" bestFit="1" customWidth="1"/>
    <col min="8" max="8" width="10" bestFit="1" customWidth="1"/>
  </cols>
  <sheetData>
    <row r="1" spans="1:8">
      <c r="A1" s="22" t="s">
        <v>27</v>
      </c>
      <c r="B1" t="s">
        <v>28</v>
      </c>
    </row>
    <row r="3" spans="1:8">
      <c r="A3" s="22" t="s">
        <v>26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</row>
    <row r="4" spans="1:8">
      <c r="A4" s="23" t="s">
        <v>19</v>
      </c>
      <c r="B4">
        <v>7.95</v>
      </c>
      <c r="C4">
        <v>7.85</v>
      </c>
      <c r="D4">
        <v>7.3</v>
      </c>
      <c r="E4">
        <v>7.95</v>
      </c>
      <c r="F4" s="24">
        <v>7.9999999999999991</v>
      </c>
      <c r="G4">
        <v>7.6999999999999993</v>
      </c>
      <c r="H4">
        <v>7.2999999999999989</v>
      </c>
    </row>
    <row r="5" spans="1:8">
      <c r="A5" s="23" t="s">
        <v>3</v>
      </c>
      <c r="B5">
        <v>7.7</v>
      </c>
      <c r="C5">
        <v>7.7</v>
      </c>
      <c r="D5">
        <v>7.4</v>
      </c>
      <c r="E5">
        <v>7.7</v>
      </c>
      <c r="F5" s="24">
        <v>8.4</v>
      </c>
      <c r="G5">
        <v>8.2000000000000011</v>
      </c>
      <c r="H5">
        <v>8</v>
      </c>
    </row>
    <row r="6" spans="1:8">
      <c r="A6" s="23" t="s">
        <v>5</v>
      </c>
      <c r="B6" s="25">
        <v>8.1000000000000014</v>
      </c>
      <c r="C6">
        <v>7.7000000000000011</v>
      </c>
      <c r="D6">
        <v>7.0000000000000009</v>
      </c>
      <c r="E6" s="25">
        <v>8.1000000000000014</v>
      </c>
      <c r="F6">
        <v>7.6000000000000005</v>
      </c>
      <c r="G6">
        <v>7.4</v>
      </c>
      <c r="H6">
        <v>6.8</v>
      </c>
    </row>
    <row r="7" spans="1:8">
      <c r="A7" s="23" t="s">
        <v>7</v>
      </c>
      <c r="B7">
        <v>6.5</v>
      </c>
      <c r="C7">
        <v>6.5000000000000009</v>
      </c>
      <c r="D7">
        <v>6.2000000000000011</v>
      </c>
      <c r="E7">
        <v>6.5</v>
      </c>
      <c r="F7" s="24">
        <v>7.6000000000000005</v>
      </c>
      <c r="G7">
        <v>7.4</v>
      </c>
      <c r="H7">
        <v>7.2</v>
      </c>
    </row>
    <row r="8" spans="1:8">
      <c r="A8" s="23" t="s">
        <v>2</v>
      </c>
      <c r="B8" s="25">
        <v>7.7</v>
      </c>
      <c r="C8" s="25">
        <v>7.7</v>
      </c>
      <c r="D8">
        <v>7.4</v>
      </c>
      <c r="E8" s="25">
        <v>7.7</v>
      </c>
      <c r="F8">
        <v>7.6000000000000014</v>
      </c>
      <c r="G8">
        <v>7.4000000000000012</v>
      </c>
      <c r="H8">
        <v>7.2</v>
      </c>
    </row>
    <row r="9" spans="1:8">
      <c r="A9" s="23" t="s">
        <v>4</v>
      </c>
      <c r="B9">
        <v>7.3</v>
      </c>
      <c r="C9">
        <v>7.3</v>
      </c>
      <c r="D9">
        <v>7</v>
      </c>
      <c r="E9">
        <v>7.3</v>
      </c>
      <c r="F9" s="24">
        <v>8.4</v>
      </c>
      <c r="G9">
        <v>8.1999999999999993</v>
      </c>
      <c r="H9">
        <v>7.9999999999999991</v>
      </c>
    </row>
    <row r="10" spans="1:8">
      <c r="A10" s="23" t="s">
        <v>6</v>
      </c>
      <c r="B10">
        <v>7.7</v>
      </c>
      <c r="C10">
        <v>8.1000000000000014</v>
      </c>
      <c r="D10">
        <v>7</v>
      </c>
      <c r="E10">
        <v>7.7</v>
      </c>
      <c r="F10" s="24">
        <v>8.4</v>
      </c>
      <c r="G10">
        <v>7.4</v>
      </c>
      <c r="H10">
        <v>6.8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6098-588C-42DC-A0F0-23DE45CB97E5}">
  <sheetPr>
    <tabColor theme="4"/>
  </sheetPr>
  <dimension ref="A1:K12"/>
  <sheetViews>
    <sheetView zoomScale="110" zoomScaleNormal="110" workbookViewId="0">
      <selection activeCell="A3" sqref="A3"/>
    </sheetView>
  </sheetViews>
  <sheetFormatPr defaultRowHeight="15"/>
  <cols>
    <col min="1" max="1" width="13.5703125" bestFit="1" customWidth="1"/>
    <col min="2" max="2" width="5.42578125" bestFit="1" customWidth="1"/>
    <col min="3" max="3" width="4.7109375" bestFit="1" customWidth="1"/>
    <col min="4" max="4" width="7" bestFit="1" customWidth="1"/>
    <col min="5" max="5" width="7.85546875" bestFit="1" customWidth="1"/>
    <col min="6" max="6" width="4.5703125" bestFit="1" customWidth="1"/>
    <col min="7" max="7" width="9.85546875" bestFit="1" customWidth="1"/>
    <col min="8" max="8" width="11.42578125" bestFit="1" customWidth="1"/>
    <col min="9" max="9" width="8.42578125" bestFit="1" customWidth="1"/>
    <col min="10" max="10" width="9.85546875" customWidth="1"/>
    <col min="11" max="11" width="11" bestFit="1" customWidth="1"/>
    <col min="12" max="12" width="11.140625" customWidth="1"/>
    <col min="13" max="13" width="11.42578125" customWidth="1"/>
    <col min="14" max="14" width="12.42578125" customWidth="1"/>
  </cols>
  <sheetData>
    <row r="1" spans="1:11">
      <c r="A1" s="42" t="s">
        <v>49</v>
      </c>
      <c r="B1" s="42"/>
      <c r="C1" s="42"/>
      <c r="D1" s="42"/>
      <c r="E1" s="42"/>
      <c r="F1" s="42"/>
      <c r="G1" s="42"/>
      <c r="H1" s="42"/>
      <c r="I1" s="15"/>
      <c r="J1" s="15"/>
      <c r="K1" s="16"/>
    </row>
    <row r="2" spans="1:11">
      <c r="A2" s="43"/>
      <c r="B2" s="43"/>
      <c r="C2" s="43"/>
      <c r="D2" s="43"/>
      <c r="E2" s="43"/>
      <c r="F2" s="43"/>
      <c r="G2" s="43"/>
      <c r="H2" s="43"/>
      <c r="I2" s="15"/>
      <c r="J2" s="15"/>
      <c r="K2" s="16"/>
    </row>
    <row r="3" spans="1:11">
      <c r="A3" s="27" t="s">
        <v>1</v>
      </c>
      <c r="B3" s="40" t="s">
        <v>41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7" t="s">
        <v>7</v>
      </c>
      <c r="I3" s="17"/>
      <c r="J3" s="15"/>
      <c r="K3" s="16"/>
    </row>
    <row r="4" spans="1:11">
      <c r="A4" s="27" t="s">
        <v>8</v>
      </c>
      <c r="B4" s="41"/>
      <c r="C4" s="28">
        <v>0.2</v>
      </c>
      <c r="D4" s="28">
        <v>0.2</v>
      </c>
      <c r="E4" s="28">
        <v>0.15</v>
      </c>
      <c r="F4" s="28">
        <v>0.25</v>
      </c>
      <c r="G4" s="28">
        <v>0.15</v>
      </c>
      <c r="H4" s="28">
        <v>0.05</v>
      </c>
      <c r="I4" s="17"/>
      <c r="J4" s="15"/>
      <c r="K4" s="16"/>
    </row>
    <row r="5" spans="1:11">
      <c r="A5" s="29" t="s">
        <v>9</v>
      </c>
      <c r="B5" s="30">
        <f>SUM(C5*C4+D5*D4+E5*E4+F5*F4+G5*G4+H5*H4)</f>
        <v>7.45</v>
      </c>
      <c r="C5" s="30">
        <v>8</v>
      </c>
      <c r="D5" s="30">
        <v>8</v>
      </c>
      <c r="E5" s="30">
        <v>7</v>
      </c>
      <c r="F5" s="30">
        <v>8</v>
      </c>
      <c r="G5" s="30">
        <v>6</v>
      </c>
      <c r="H5" s="30">
        <v>6</v>
      </c>
    </row>
    <row r="6" spans="1:11">
      <c r="A6" s="29" t="s">
        <v>44</v>
      </c>
      <c r="B6" s="30">
        <f>SUM(C6*C4+D6*D4+E6*E4+F6*F4+G6*G4+H6*H4)</f>
        <v>8.25</v>
      </c>
      <c r="C6" s="30">
        <v>8</v>
      </c>
      <c r="D6" s="30">
        <v>9</v>
      </c>
      <c r="E6" s="30">
        <v>7</v>
      </c>
      <c r="F6" s="30">
        <v>9</v>
      </c>
      <c r="G6" s="30">
        <v>8</v>
      </c>
      <c r="H6" s="30">
        <v>7</v>
      </c>
    </row>
    <row r="7" spans="1:11">
      <c r="A7" s="29" t="s">
        <v>10</v>
      </c>
      <c r="B7" s="30">
        <f>SUM(C7*C4+D7*D4+E7*E4+F7*F4+G7*G4+H7*H4)</f>
        <v>8.25</v>
      </c>
      <c r="C7" s="30">
        <v>8</v>
      </c>
      <c r="D7" s="30">
        <v>9</v>
      </c>
      <c r="E7" s="30">
        <v>7</v>
      </c>
      <c r="F7" s="30">
        <v>9</v>
      </c>
      <c r="G7" s="30">
        <v>8</v>
      </c>
      <c r="H7" s="30">
        <v>7</v>
      </c>
    </row>
    <row r="8" spans="1:11">
      <c r="A8" s="29" t="s">
        <v>11</v>
      </c>
      <c r="B8" s="30">
        <f>SUM(C8*C4+D8*D4+E8*E4+F8*F4+G8*G4+H8*H4)</f>
        <v>6.95</v>
      </c>
      <c r="C8" s="30">
        <v>8</v>
      </c>
      <c r="D8" s="30">
        <v>8</v>
      </c>
      <c r="E8" s="30">
        <v>7</v>
      </c>
      <c r="F8" s="30">
        <v>6</v>
      </c>
      <c r="G8" s="30">
        <v>6</v>
      </c>
      <c r="H8" s="30">
        <v>6</v>
      </c>
    </row>
    <row r="9" spans="1:11">
      <c r="A9" s="29" t="s">
        <v>12</v>
      </c>
      <c r="B9" s="30">
        <f>SUM(C9*C4+D9*D4+E9*E4+F9*F4+G9*G4+H9*H4)</f>
        <v>7.7</v>
      </c>
      <c r="C9" s="30">
        <v>7</v>
      </c>
      <c r="D9" s="30">
        <v>10</v>
      </c>
      <c r="E9" s="30">
        <v>7</v>
      </c>
      <c r="F9" s="30">
        <v>7</v>
      </c>
      <c r="G9" s="30">
        <v>7</v>
      </c>
      <c r="H9" s="30">
        <v>9</v>
      </c>
    </row>
    <row r="10" spans="1:11">
      <c r="A10" s="29" t="s">
        <v>37</v>
      </c>
      <c r="B10" s="30">
        <f>SUM(C10*C4+D10*D4+E10*E4+F10*F4+G10*G4+H10*H4)</f>
        <v>8.5</v>
      </c>
      <c r="C10" s="30">
        <v>7</v>
      </c>
      <c r="D10" s="30">
        <v>10</v>
      </c>
      <c r="E10" s="30">
        <v>7</v>
      </c>
      <c r="F10" s="30">
        <v>9</v>
      </c>
      <c r="G10" s="30">
        <v>9</v>
      </c>
      <c r="H10" s="30">
        <v>9</v>
      </c>
    </row>
    <row r="11" spans="1:11">
      <c r="A11" s="29" t="s">
        <v>13</v>
      </c>
      <c r="B11" s="30">
        <f>SUM(C11*C4+D11*D4+E11*E4+F11*F4+G11*G4+H11*H4)</f>
        <v>8.25</v>
      </c>
      <c r="C11" s="30">
        <v>7</v>
      </c>
      <c r="D11" s="30">
        <v>10</v>
      </c>
      <c r="E11" s="30">
        <v>7</v>
      </c>
      <c r="F11" s="30">
        <v>8</v>
      </c>
      <c r="G11" s="30">
        <v>9</v>
      </c>
      <c r="H11" s="30">
        <v>9</v>
      </c>
    </row>
    <row r="12" spans="1:11">
      <c r="A12" s="5"/>
      <c r="B12" s="5"/>
      <c r="C12" s="6"/>
      <c r="D12" s="6"/>
      <c r="E12" s="6"/>
      <c r="F12" s="6"/>
      <c r="G12" s="5"/>
      <c r="H12" s="5"/>
      <c r="I12" s="12"/>
      <c r="J12" s="13"/>
      <c r="K12" s="10"/>
    </row>
  </sheetData>
  <mergeCells count="2">
    <mergeCell ref="A1:H2"/>
    <mergeCell ref="B3:B4"/>
  </mergeCells>
  <conditionalFormatting sqref="B5:B11">
    <cfRule type="expression" dxfId="1" priority="1">
      <formula>B5=MAX($B$5:$B$11)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9EA9-7FC8-4328-BE25-C2BFD15C4DEF}">
  <sheetPr>
    <tabColor theme="6"/>
  </sheetPr>
  <dimension ref="A1:H12"/>
  <sheetViews>
    <sheetView zoomScale="110" zoomScaleNormal="110" workbookViewId="0">
      <selection activeCell="A4" sqref="A4"/>
    </sheetView>
  </sheetViews>
  <sheetFormatPr defaultRowHeight="15"/>
  <cols>
    <col min="1" max="1" width="11.42578125" bestFit="1" customWidth="1"/>
    <col min="2" max="3" width="10.5703125" bestFit="1" customWidth="1"/>
    <col min="4" max="4" width="9.5703125" bestFit="1" customWidth="1"/>
    <col min="5" max="5" width="6.42578125" bestFit="1" customWidth="1"/>
    <col min="6" max="6" width="6" bestFit="1" customWidth="1"/>
    <col min="7" max="7" width="5.7109375" bestFit="1" customWidth="1"/>
    <col min="8" max="8" width="8.42578125" bestFit="1" customWidth="1"/>
  </cols>
  <sheetData>
    <row r="1" spans="1:8">
      <c r="A1" s="32" t="s">
        <v>27</v>
      </c>
      <c r="B1" s="10" t="s">
        <v>28</v>
      </c>
      <c r="C1" s="1"/>
    </row>
    <row r="2" spans="1:8">
      <c r="A2" s="10"/>
      <c r="B2" s="10"/>
      <c r="C2" s="10"/>
      <c r="D2" s="10"/>
      <c r="E2" s="10"/>
      <c r="F2" s="10"/>
      <c r="G2" s="10"/>
      <c r="H2" s="10"/>
    </row>
    <row r="3" spans="1:8">
      <c r="A3" s="32" t="s">
        <v>26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43</v>
      </c>
      <c r="H3" s="10" t="s">
        <v>35</v>
      </c>
    </row>
    <row r="4" spans="1:8">
      <c r="A4" s="18" t="s">
        <v>19</v>
      </c>
      <c r="B4" s="10">
        <v>7.45</v>
      </c>
      <c r="C4" s="10">
        <v>8.25</v>
      </c>
      <c r="D4" s="10">
        <v>8.25</v>
      </c>
      <c r="E4" s="10">
        <v>6.95</v>
      </c>
      <c r="F4" s="10">
        <v>7.7</v>
      </c>
      <c r="G4" s="33">
        <v>8.5</v>
      </c>
      <c r="H4" s="10">
        <v>8.25</v>
      </c>
    </row>
    <row r="5" spans="1:8">
      <c r="A5" s="18" t="s">
        <v>3</v>
      </c>
      <c r="B5" s="10">
        <v>7.5</v>
      </c>
      <c r="C5" s="10">
        <v>8.4</v>
      </c>
      <c r="D5" s="10">
        <v>8.4</v>
      </c>
      <c r="E5" s="10">
        <v>7.2999999999999989</v>
      </c>
      <c r="F5" s="10">
        <v>8.7000000000000011</v>
      </c>
      <c r="G5" s="33">
        <v>9.1000000000000014</v>
      </c>
      <c r="H5" s="10">
        <v>9</v>
      </c>
    </row>
    <row r="6" spans="1:8">
      <c r="A6" s="18" t="s">
        <v>5</v>
      </c>
      <c r="B6" s="10">
        <v>7.5</v>
      </c>
      <c r="C6" s="10">
        <v>8.4</v>
      </c>
      <c r="D6" s="10">
        <v>8.4</v>
      </c>
      <c r="E6" s="10">
        <v>6.5</v>
      </c>
      <c r="F6" s="10">
        <v>7.5000000000000009</v>
      </c>
      <c r="G6" s="33">
        <v>8.7000000000000011</v>
      </c>
      <c r="H6" s="10">
        <v>8.2000000000000011</v>
      </c>
    </row>
    <row r="7" spans="1:8">
      <c r="A7" s="18" t="s">
        <v>7</v>
      </c>
      <c r="B7" s="10">
        <v>6.7000000000000011</v>
      </c>
      <c r="C7" s="10">
        <v>7.6000000000000005</v>
      </c>
      <c r="D7" s="10">
        <v>7.6000000000000005</v>
      </c>
      <c r="E7" s="10">
        <v>6.5</v>
      </c>
      <c r="F7" s="10">
        <v>8.3000000000000007</v>
      </c>
      <c r="G7" s="33">
        <v>8.6999999999999993</v>
      </c>
      <c r="H7" s="10">
        <v>8.6000000000000014</v>
      </c>
    </row>
    <row r="8" spans="1:8">
      <c r="A8" s="18" t="s">
        <v>36</v>
      </c>
      <c r="B8" s="10">
        <v>7.5</v>
      </c>
      <c r="C8" s="34">
        <v>8</v>
      </c>
      <c r="D8" s="34">
        <v>8</v>
      </c>
      <c r="E8" s="10">
        <v>7.2999999999999989</v>
      </c>
      <c r="F8" s="10">
        <v>7.5000000000000009</v>
      </c>
      <c r="G8" s="35">
        <v>7.9000000000000012</v>
      </c>
      <c r="H8" s="10">
        <v>7.8000000000000007</v>
      </c>
    </row>
    <row r="9" spans="1:8">
      <c r="A9" s="18" t="s">
        <v>4</v>
      </c>
      <c r="B9" s="10">
        <v>7.1</v>
      </c>
      <c r="C9" s="10">
        <v>7.6000000000000005</v>
      </c>
      <c r="D9" s="10">
        <v>7.6000000000000005</v>
      </c>
      <c r="E9" s="10">
        <v>6.8999999999999986</v>
      </c>
      <c r="F9" s="10">
        <v>7.5000000000000009</v>
      </c>
      <c r="G9" s="33">
        <v>7.9000000000000012</v>
      </c>
      <c r="H9" s="10">
        <v>7.8000000000000007</v>
      </c>
    </row>
    <row r="10" spans="1:8">
      <c r="A10" s="18" t="s">
        <v>6</v>
      </c>
      <c r="B10" s="10">
        <v>6.7000000000000011</v>
      </c>
      <c r="C10" s="10">
        <v>8</v>
      </c>
      <c r="D10" s="10">
        <v>8</v>
      </c>
      <c r="E10" s="10">
        <v>6.5</v>
      </c>
      <c r="F10" s="10">
        <v>7.5000000000000009</v>
      </c>
      <c r="G10" s="33">
        <v>8.7000000000000011</v>
      </c>
      <c r="H10" s="10">
        <v>8.6</v>
      </c>
    </row>
    <row r="11" spans="1:8">
      <c r="A11" s="10"/>
      <c r="B11" s="10"/>
      <c r="C11" s="10"/>
      <c r="D11" s="10"/>
      <c r="E11" s="10"/>
      <c r="F11" s="10"/>
      <c r="G11" s="10"/>
      <c r="H11" s="10"/>
    </row>
    <row r="12" spans="1:8">
      <c r="A12" s="36"/>
      <c r="B12" s="10"/>
      <c r="C12" s="10"/>
      <c r="D12" s="10"/>
      <c r="E12" s="10"/>
      <c r="F12" s="10"/>
      <c r="G12" s="10"/>
      <c r="H12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4F0C-BF89-44A3-8FD7-12BAA1C1F843}">
  <sheetPr>
    <tabColor theme="3"/>
  </sheetPr>
  <dimension ref="A1:M13"/>
  <sheetViews>
    <sheetView zoomScale="110" zoomScaleNormal="110" workbookViewId="0">
      <selection activeCell="A12" sqref="A12"/>
    </sheetView>
  </sheetViews>
  <sheetFormatPr defaultRowHeight="15"/>
  <cols>
    <col min="1" max="1" width="13.5703125" bestFit="1" customWidth="1"/>
    <col min="2" max="4" width="6.7109375" bestFit="1" customWidth="1"/>
    <col min="5" max="5" width="8.140625" bestFit="1" customWidth="1"/>
    <col min="6" max="6" width="5.42578125" bestFit="1" customWidth="1"/>
    <col min="7" max="7" width="8" bestFit="1" customWidth="1"/>
    <col min="8" max="8" width="9.140625" bestFit="1" customWidth="1"/>
    <col min="9" max="9" width="8.140625" customWidth="1"/>
    <col min="10" max="10" width="11.42578125" bestFit="1" customWidth="1"/>
    <col min="11" max="11" width="14.140625" bestFit="1" customWidth="1"/>
    <col min="12" max="12" width="8.140625" bestFit="1" customWidth="1"/>
    <col min="13" max="14" width="9.140625" customWidth="1"/>
    <col min="15" max="15" width="30.5703125" bestFit="1" customWidth="1"/>
    <col min="16" max="16" width="25.85546875" customWidth="1"/>
    <col min="17" max="17" width="48.42578125" customWidth="1"/>
  </cols>
  <sheetData>
    <row r="1" spans="1:13">
      <c r="A1" s="42" t="s">
        <v>0</v>
      </c>
      <c r="B1" s="42"/>
      <c r="C1" s="42"/>
      <c r="D1" s="42"/>
      <c r="E1" s="42"/>
      <c r="F1" s="7"/>
      <c r="G1" s="7"/>
      <c r="H1" s="7"/>
      <c r="I1" s="7"/>
      <c r="J1" s="7"/>
      <c r="K1" s="7"/>
      <c r="L1" s="7"/>
      <c r="M1" s="7"/>
    </row>
    <row r="2" spans="1:13">
      <c r="A2" s="43"/>
      <c r="B2" s="43"/>
      <c r="C2" s="43"/>
      <c r="D2" s="43"/>
      <c r="E2" s="43"/>
      <c r="F2" s="7"/>
      <c r="G2" s="7"/>
      <c r="H2" s="7"/>
      <c r="I2" s="7"/>
      <c r="J2" s="7"/>
      <c r="K2" s="7"/>
      <c r="L2" s="7"/>
      <c r="M2" s="7"/>
    </row>
    <row r="3" spans="1:13">
      <c r="A3" s="20" t="s">
        <v>42</v>
      </c>
      <c r="B3" s="20" t="s">
        <v>45</v>
      </c>
      <c r="C3" s="20" t="s">
        <v>46</v>
      </c>
      <c r="D3" s="20" t="s">
        <v>47</v>
      </c>
      <c r="E3" s="20" t="s">
        <v>48</v>
      </c>
      <c r="F3" s="8"/>
      <c r="G3" s="7"/>
    </row>
    <row r="4" spans="1:13">
      <c r="A4" s="21" t="s">
        <v>9</v>
      </c>
      <c r="B4" s="37">
        <f>'C1'!B5</f>
        <v>7.0499999999999989</v>
      </c>
      <c r="C4" s="37">
        <f>'C2'!B5</f>
        <v>7.95</v>
      </c>
      <c r="D4" s="37">
        <f>'C3'!B5</f>
        <v>7.45</v>
      </c>
      <c r="E4" s="38">
        <f>AVERAGE(B4:D4)</f>
        <v>7.4833333333333334</v>
      </c>
      <c r="F4" s="8"/>
      <c r="G4" s="7"/>
    </row>
    <row r="5" spans="1:13">
      <c r="A5" s="21" t="s">
        <v>44</v>
      </c>
      <c r="B5" s="37">
        <f>'C1'!B6</f>
        <v>7.9999999999999991</v>
      </c>
      <c r="C5" s="37">
        <f>'C2'!B6</f>
        <v>7.85</v>
      </c>
      <c r="D5" s="37">
        <f>'C3'!B6</f>
        <v>8.25</v>
      </c>
      <c r="E5" s="39">
        <f t="shared" ref="E5:E10" si="0">AVERAGE(B5:D5)</f>
        <v>8.0333333333333332</v>
      </c>
      <c r="F5" s="8"/>
      <c r="G5" s="7"/>
    </row>
    <row r="6" spans="1:13">
      <c r="A6" s="21" t="s">
        <v>10</v>
      </c>
      <c r="B6" s="37">
        <f>'C1'!B7</f>
        <v>7.4499999999999993</v>
      </c>
      <c r="C6" s="37">
        <f>'C2'!B7</f>
        <v>7.3</v>
      </c>
      <c r="D6" s="37">
        <f>'C3'!B7</f>
        <v>8.25</v>
      </c>
      <c r="E6" s="38">
        <f t="shared" si="0"/>
        <v>7.666666666666667</v>
      </c>
      <c r="F6" s="8"/>
      <c r="G6" s="9"/>
    </row>
    <row r="7" spans="1:13">
      <c r="A7" s="21" t="s">
        <v>11</v>
      </c>
      <c r="B7" s="37">
        <f>'C1'!B8</f>
        <v>7.75</v>
      </c>
      <c r="C7" s="37">
        <f>'C2'!B8</f>
        <v>7.95</v>
      </c>
      <c r="D7" s="37">
        <f>'C3'!B8</f>
        <v>6.95</v>
      </c>
      <c r="E7" s="38">
        <f t="shared" si="0"/>
        <v>7.55</v>
      </c>
      <c r="F7" s="8"/>
      <c r="G7" s="3"/>
    </row>
    <row r="8" spans="1:13">
      <c r="A8" s="21" t="s">
        <v>12</v>
      </c>
      <c r="B8" s="37">
        <f>'C1'!B9</f>
        <v>7.85</v>
      </c>
      <c r="C8" s="37">
        <f>'C2'!B9</f>
        <v>7.9999999999999991</v>
      </c>
      <c r="D8" s="37">
        <f>'C3'!B9</f>
        <v>7.7</v>
      </c>
      <c r="E8" s="38">
        <f t="shared" si="0"/>
        <v>7.8499999999999988</v>
      </c>
      <c r="F8" s="8"/>
      <c r="G8" s="9"/>
    </row>
    <row r="9" spans="1:13">
      <c r="A9" s="21" t="s">
        <v>37</v>
      </c>
      <c r="B9" s="37">
        <f>'C1'!B10</f>
        <v>7.1999999999999993</v>
      </c>
      <c r="C9" s="37">
        <f>'C2'!B10</f>
        <v>7.2999999999999989</v>
      </c>
      <c r="D9" s="37">
        <f>'C3'!B10</f>
        <v>8.5</v>
      </c>
      <c r="E9" s="38">
        <f t="shared" si="0"/>
        <v>7.666666666666667</v>
      </c>
      <c r="F9" s="8"/>
      <c r="G9" s="3"/>
    </row>
    <row r="10" spans="1:13">
      <c r="A10" s="21" t="s">
        <v>13</v>
      </c>
      <c r="B10" s="37">
        <f>'C1'!B11</f>
        <v>7.05</v>
      </c>
      <c r="C10" s="37">
        <f>'C2'!B11</f>
        <v>7.6999999999999993</v>
      </c>
      <c r="D10" s="37">
        <f>'C3'!B11</f>
        <v>8.25</v>
      </c>
      <c r="E10" s="38">
        <f t="shared" si="0"/>
        <v>7.666666666666667</v>
      </c>
      <c r="F10" s="8"/>
      <c r="G10" s="9"/>
    </row>
    <row r="11" spans="1:13">
      <c r="A11" s="31"/>
      <c r="B11" s="31"/>
      <c r="C11" s="31"/>
      <c r="D11" s="31"/>
      <c r="E11" s="31"/>
      <c r="F11" s="8"/>
      <c r="G11" s="3"/>
    </row>
    <row r="12" spans="1:13">
      <c r="F12" s="8"/>
      <c r="G12" s="3"/>
    </row>
    <row r="13" spans="1:13">
      <c r="F13" s="6"/>
      <c r="G13" s="6"/>
      <c r="H13" s="6"/>
      <c r="I13" s="6"/>
      <c r="J13" s="5"/>
      <c r="K13" s="5"/>
      <c r="L13" s="5"/>
      <c r="M13" s="4"/>
    </row>
  </sheetData>
  <mergeCells count="1">
    <mergeCell ref="A1:E2"/>
  </mergeCells>
  <conditionalFormatting sqref="E4:E10">
    <cfRule type="expression" dxfId="0" priority="1">
      <formula>E4=MAX($E$4:$E$11)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05d4c80-da1e-4cd7-83a6-0d2094b20418}" enabled="0" method="" siteId="{d05d4c80-da1e-4cd7-83a6-0d2094b204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1.Processo de Simon</vt:lpstr>
      <vt:lpstr>NotasIniciais</vt:lpstr>
      <vt:lpstr>Calças</vt:lpstr>
      <vt:lpstr>C1</vt:lpstr>
      <vt:lpstr>Sensibilidade1</vt:lpstr>
      <vt:lpstr>C2</vt:lpstr>
      <vt:lpstr>Sensibilidade2</vt:lpstr>
      <vt:lpstr>C3</vt:lpstr>
      <vt:lpstr>Sensibilidade(C3)</vt:lpstr>
      <vt:lpstr>DecisorGrupo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Sousa Pinheiro</cp:lastModifiedBy>
  <cp:revision/>
  <cp:lastPrinted>2025-03-13T19:27:19Z</cp:lastPrinted>
  <dcterms:created xsi:type="dcterms:W3CDTF">2025-03-07T14:56:16Z</dcterms:created>
  <dcterms:modified xsi:type="dcterms:W3CDTF">2026-05-21T21:12:49Z</dcterms:modified>
  <cp:category/>
  <cp:contentStatus/>
</cp:coreProperties>
</file>